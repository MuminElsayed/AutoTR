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OneDrive - Nile University\Registrar\Auto Transcriptor\"/>
    </mc:Choice>
  </mc:AlternateContent>
  <xr:revisionPtr revIDLastSave="218" documentId="6_{ADEE6BA4-0E21-45F1-86D7-2468D0843F83}" xr6:coauthVersionLast="45" xr6:coauthVersionMax="45" xr10:uidLastSave="{A3CC42A9-DBF2-4E82-861A-7B86D219EE0E}"/>
  <bookViews>
    <workbookView xWindow="-108" yWindow="-108" windowWidth="23256" windowHeight="12600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_xlnm.Print_Area" localSheetId="0">Sheet1!$A$1:$Q$123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8" i="1" l="1"/>
  <c r="G19" i="1" s="1"/>
  <c r="E18" i="1"/>
  <c r="E19" i="1" s="1"/>
  <c r="C18" i="1"/>
  <c r="C19" i="1" s="1"/>
  <c r="M112" i="1"/>
  <c r="G112" i="1"/>
  <c r="I112" i="1" l="1"/>
  <c r="I19" i="1"/>
  <c r="I18" i="1"/>
  <c r="B47" i="1"/>
  <c r="B48" i="1"/>
  <c r="C59" i="1"/>
  <c r="C60" i="1" s="1"/>
  <c r="E59" i="1"/>
  <c r="E60" i="1" s="1"/>
  <c r="G59" i="1"/>
  <c r="G60" i="1" s="1"/>
  <c r="K59" i="1"/>
  <c r="M59" i="1"/>
  <c r="O59" i="1"/>
  <c r="C71" i="1"/>
  <c r="E71" i="1"/>
  <c r="G71" i="1"/>
  <c r="K71" i="1"/>
  <c r="M71" i="1"/>
  <c r="O71" i="1"/>
  <c r="B88" i="1"/>
  <c r="B89" i="1"/>
  <c r="C100" i="1"/>
  <c r="E100" i="1"/>
  <c r="G100" i="1"/>
  <c r="K100" i="1"/>
  <c r="M100" i="1"/>
  <c r="O100" i="1"/>
  <c r="C112" i="1"/>
  <c r="E112" i="1"/>
  <c r="K112" i="1"/>
  <c r="O112" i="1"/>
  <c r="Q112" i="1" s="1"/>
  <c r="O60" i="1" l="1"/>
  <c r="I100" i="1"/>
  <c r="Q71" i="1"/>
  <c r="Q59" i="1"/>
  <c r="K60" i="1"/>
  <c r="C72" i="1" s="1"/>
  <c r="K72" i="1" s="1"/>
  <c r="C101" i="1" s="1"/>
  <c r="K101" i="1" s="1"/>
  <c r="C113" i="1" s="1"/>
  <c r="K113" i="1" s="1"/>
  <c r="I59" i="1"/>
  <c r="I60" i="1"/>
  <c r="M60" i="1"/>
  <c r="Q60" i="1" s="1"/>
  <c r="Q100" i="1"/>
  <c r="I71" i="1"/>
  <c r="G72" i="1"/>
  <c r="E72" i="1" l="1"/>
  <c r="M72" i="1" s="1"/>
  <c r="E101" i="1" s="1"/>
  <c r="M101" i="1" s="1"/>
  <c r="E113" i="1" s="1"/>
  <c r="M113" i="1" s="1"/>
  <c r="O72" i="1"/>
  <c r="O30" i="1"/>
  <c r="M30" i="1"/>
  <c r="K30" i="1"/>
  <c r="G30" i="1"/>
  <c r="E30" i="1"/>
  <c r="C30" i="1"/>
  <c r="O18" i="1"/>
  <c r="M18" i="1"/>
  <c r="K18" i="1"/>
  <c r="G17" i="2"/>
  <c r="G18" i="2"/>
  <c r="E17" i="2"/>
  <c r="E18" i="2"/>
  <c r="C17" i="2"/>
  <c r="C18" i="2"/>
  <c r="H18" i="2"/>
  <c r="H17" i="2"/>
  <c r="I72" i="1" l="1"/>
  <c r="Q72" i="1"/>
  <c r="G101" i="1"/>
  <c r="I30" i="1"/>
  <c r="O19" i="1"/>
  <c r="G31" i="1" s="1"/>
  <c r="O31" i="1" s="1"/>
  <c r="M19" i="1"/>
  <c r="E31" i="1" s="1"/>
  <c r="M31" i="1" s="1"/>
  <c r="K19" i="1"/>
  <c r="C31" i="1" s="1"/>
  <c r="K31" i="1" s="1"/>
  <c r="Q30" i="1"/>
  <c r="Q18" i="1"/>
  <c r="O101" i="1" l="1"/>
  <c r="I101" i="1"/>
  <c r="Q19" i="1"/>
  <c r="I31" i="1"/>
  <c r="Q31" i="1"/>
  <c r="G113" i="1" l="1"/>
  <c r="Q101" i="1"/>
  <c r="O113" i="1" l="1"/>
  <c r="Q113" i="1" s="1"/>
  <c r="I113" i="1"/>
</calcChain>
</file>

<file path=xl/sharedStrings.xml><?xml version="1.0" encoding="utf-8"?>
<sst xmlns="http://schemas.openxmlformats.org/spreadsheetml/2006/main" count="325" uniqueCount="161">
  <si>
    <t>Course Title</t>
  </si>
  <si>
    <t xml:space="preserve">Grade </t>
  </si>
  <si>
    <t>Quality Points</t>
  </si>
  <si>
    <t>Credit Hours</t>
  </si>
  <si>
    <t>EHRS</t>
  </si>
  <si>
    <t>QHRS</t>
  </si>
  <si>
    <t>QPTS</t>
  </si>
  <si>
    <t>GPA</t>
  </si>
  <si>
    <t>Current</t>
  </si>
  <si>
    <t>Cumulative</t>
  </si>
  <si>
    <t>Page 2 of 2</t>
  </si>
  <si>
    <t>A</t>
  </si>
  <si>
    <t>B+</t>
  </si>
  <si>
    <t>Degree Pursued:</t>
  </si>
  <si>
    <t>Official Undergraduate Academic Record</t>
  </si>
  <si>
    <t>Semester I</t>
  </si>
  <si>
    <t>Previous Degree:</t>
  </si>
  <si>
    <t>Microeconomics</t>
  </si>
  <si>
    <t>Semester II</t>
  </si>
  <si>
    <t>Semester III</t>
  </si>
  <si>
    <t xml:space="preserve">NSCI 102 </t>
  </si>
  <si>
    <t>Semester IV</t>
  </si>
  <si>
    <t xml:space="preserve">MATH 201 </t>
  </si>
  <si>
    <t>Semester V</t>
  </si>
  <si>
    <t>Semester VI</t>
  </si>
  <si>
    <t>U'18</t>
  </si>
  <si>
    <t>F'18</t>
  </si>
  <si>
    <t>Student Name: Amr Mohtady Mahmoud</t>
  </si>
  <si>
    <t xml:space="preserve">Student ID: </t>
  </si>
  <si>
    <t>Date of Birth: 29-01-1998</t>
  </si>
  <si>
    <t>F</t>
  </si>
  <si>
    <t xml:space="preserve">ENGL 101 </t>
  </si>
  <si>
    <t>February 12th, 2019</t>
  </si>
  <si>
    <t xml:space="preserve">ECON202 </t>
  </si>
  <si>
    <t>ARTS201</t>
  </si>
  <si>
    <t>Intro. to Photography</t>
  </si>
  <si>
    <t>C-</t>
  </si>
  <si>
    <t xml:space="preserve">English I </t>
  </si>
  <si>
    <t>S.T. in Natural Sciences (Environmental Science)</t>
  </si>
  <si>
    <t>Intro. to Probability &amp; Statistics</t>
  </si>
  <si>
    <t>SU'18</t>
  </si>
  <si>
    <t>Semester VII</t>
  </si>
  <si>
    <t>Semester VIII</t>
  </si>
  <si>
    <t xml:space="preserve">Date of Birth: </t>
  </si>
  <si>
    <t xml:space="preserve">Cum GPA: </t>
  </si>
  <si>
    <t>Page 1 of 3</t>
  </si>
  <si>
    <t>Page 2 of 3</t>
  </si>
  <si>
    <t>Page 3 of 3</t>
  </si>
  <si>
    <t>MENG 101</t>
  </si>
  <si>
    <t xml:space="preserve"> Engineering Mechanics</t>
  </si>
  <si>
    <t>Semester IX</t>
  </si>
  <si>
    <t>Semester X</t>
  </si>
  <si>
    <t>Semester XI</t>
  </si>
  <si>
    <t>Semester XII</t>
  </si>
  <si>
    <t>School</t>
  </si>
  <si>
    <t>Degree</t>
  </si>
  <si>
    <t>Major</t>
  </si>
  <si>
    <t>Year</t>
  </si>
  <si>
    <t xml:space="preserve">Student Name: Youssef Ibrahim El Masry </t>
  </si>
  <si>
    <t>Student ID: CE-1610501</t>
  </si>
  <si>
    <t>TR</t>
  </si>
  <si>
    <t>Transfer</t>
  </si>
  <si>
    <t>red Credits from CIC:</t>
  </si>
  <si>
    <t>MATH 111</t>
  </si>
  <si>
    <t xml:space="preserve"> Analytical Geometry &amp; Calculus I</t>
  </si>
  <si>
    <t>MATH 112</t>
  </si>
  <si>
    <t xml:space="preserve"> Analytical Geometry &amp; Calculus II</t>
  </si>
  <si>
    <t>PHYS 101</t>
  </si>
  <si>
    <t xml:space="preserve"> Physics I</t>
  </si>
  <si>
    <t>PHYS 102</t>
  </si>
  <si>
    <t xml:space="preserve"> Physics II</t>
  </si>
  <si>
    <t>Fall 16</t>
  </si>
  <si>
    <t>ENGL 102</t>
  </si>
  <si>
    <t xml:space="preserve"> English I</t>
  </si>
  <si>
    <t>B</t>
  </si>
  <si>
    <t>MATH 302</t>
  </si>
  <si>
    <t xml:space="preserve"> Probability &amp; Statistics for Engineering</t>
  </si>
  <si>
    <t>CSCE 101</t>
  </si>
  <si>
    <t xml:space="preserve"> Computer &amp; Information Skills</t>
  </si>
  <si>
    <t>A+</t>
  </si>
  <si>
    <t>ECEN 101</t>
  </si>
  <si>
    <t xml:space="preserve">  Electric Circuits </t>
  </si>
  <si>
    <t>3</t>
  </si>
  <si>
    <t>PSYC 201</t>
  </si>
  <si>
    <t xml:space="preserve"> Introduction to Psychology</t>
  </si>
  <si>
    <t>ECEN 305</t>
  </si>
  <si>
    <t xml:space="preserve"> Signals and Systems</t>
  </si>
  <si>
    <t>B-</t>
  </si>
  <si>
    <t>SP'17</t>
  </si>
  <si>
    <t>ENGL 201</t>
  </si>
  <si>
    <t xml:space="preserve"> Writing Skills</t>
  </si>
  <si>
    <t>A-</t>
  </si>
  <si>
    <t>ECEN 203</t>
  </si>
  <si>
    <t xml:space="preserve"> Fundamentals of Computer Engineering</t>
  </si>
  <si>
    <t>ECEN 202</t>
  </si>
  <si>
    <t xml:space="preserve"> Fundamentals of Electrical Engineering</t>
  </si>
  <si>
    <t>CSCE 201</t>
  </si>
  <si>
    <t xml:space="preserve"> Intro. to Programming</t>
  </si>
  <si>
    <t>ECEN 306</t>
  </si>
  <si>
    <t xml:space="preserve"> Fundamentals of Communications</t>
  </si>
  <si>
    <t>ARTS 201</t>
  </si>
  <si>
    <t xml:space="preserve"> Introduction to Photography</t>
  </si>
  <si>
    <t>F'17</t>
  </si>
  <si>
    <t>ECEN 301</t>
  </si>
  <si>
    <t xml:space="preserve"> Analysis &amp; Design of Analog Circuits</t>
  </si>
  <si>
    <t>C+</t>
  </si>
  <si>
    <t>ECEN 307</t>
  </si>
  <si>
    <t xml:space="preserve">  Fundamentals of Data Structures &amp; Algorithms</t>
  </si>
  <si>
    <t>ECEN 401</t>
  </si>
  <si>
    <t xml:space="preserve"> Introduction to Computer Networks</t>
  </si>
  <si>
    <t>ECEN 409</t>
  </si>
  <si>
    <t xml:space="preserve"> Microprocessor System Design</t>
  </si>
  <si>
    <t>SP'18</t>
  </si>
  <si>
    <t>ENGL 202</t>
  </si>
  <si>
    <t>-4 Comm &amp; Presentation Skills</t>
  </si>
  <si>
    <t>HUMA 101</t>
  </si>
  <si>
    <t>-1 Intro. To Logic &amp; Critical Thinking</t>
  </si>
  <si>
    <t>ECEN 302</t>
  </si>
  <si>
    <t xml:space="preserve"> Analysis &amp; Design of Digital Circuits</t>
  </si>
  <si>
    <t>ECEN 303</t>
  </si>
  <si>
    <t xml:space="preserve"> Introduction to Computer Systems</t>
  </si>
  <si>
    <t>ECEN 406</t>
  </si>
  <si>
    <t xml:space="preserve"> Fundamentals of Control</t>
  </si>
  <si>
    <t>ECEN 304</t>
  </si>
  <si>
    <t xml:space="preserve"> Fundamentals of Computer Systems Software</t>
  </si>
  <si>
    <t xml:space="preserve">IENG302 </t>
  </si>
  <si>
    <t>Safety Engineering</t>
  </si>
  <si>
    <t/>
  </si>
  <si>
    <t>ECEN 407</t>
  </si>
  <si>
    <t xml:space="preserve"> Operating Systems</t>
  </si>
  <si>
    <t>ECEN 408</t>
  </si>
  <si>
    <t xml:space="preserve"> Advanced Computer Architecture</t>
  </si>
  <si>
    <t>ECEN 501</t>
  </si>
  <si>
    <t xml:space="preserve"> Machine Intelligence</t>
  </si>
  <si>
    <t xml:space="preserve">CIT 650 </t>
  </si>
  <si>
    <t xml:space="preserve">Introduction to Big Data 1, Hadoop &amp; Spark     </t>
  </si>
  <si>
    <t xml:space="preserve">CIT 615 </t>
  </si>
  <si>
    <t>Software Develoment</t>
  </si>
  <si>
    <t>sp'19</t>
  </si>
  <si>
    <t>CSCI 461</t>
  </si>
  <si>
    <t xml:space="preserve"> Introduction to Big Data</t>
  </si>
  <si>
    <t>ECEN 403</t>
  </si>
  <si>
    <t xml:space="preserve"> Electric Machines</t>
  </si>
  <si>
    <t>C</t>
  </si>
  <si>
    <t>ECEN 404</t>
  </si>
  <si>
    <t xml:space="preserve"> Introduction to Database Systems</t>
  </si>
  <si>
    <t>ECEN 502</t>
  </si>
  <si>
    <t xml:space="preserve"> Introduction to Computer Security</t>
  </si>
  <si>
    <t>ECEN 522</t>
  </si>
  <si>
    <t xml:space="preserve"> Embedded Real-Time Systems</t>
  </si>
  <si>
    <t>ENGR 540</t>
  </si>
  <si>
    <t xml:space="preserve"> Graduation Project I</t>
  </si>
  <si>
    <t>F'19</t>
  </si>
  <si>
    <t>COMM 401</t>
  </si>
  <si>
    <t xml:space="preserve"> Internship &amp; Service Learning</t>
  </si>
  <si>
    <t>ENGR 541</t>
  </si>
  <si>
    <t xml:space="preserve"> Graduation Project II</t>
  </si>
  <si>
    <t xml:space="preserve">SSCI101 </t>
  </si>
  <si>
    <t>Selected Topics in Egyptian and Arab Heritage (Introduction to Sociology)</t>
  </si>
  <si>
    <t>CSCI 469</t>
  </si>
  <si>
    <t xml:space="preserve"> ST. in Big Data (Mobile Application Development)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</si>
</sst>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9"/>
      <color indexed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9"/>
      <color indexed="9"/>
      <name val="Arial"/>
      <family val="2"/>
    </font>
    <font>
      <i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5" fillId="0" borderId="0" xfId="0" applyFont="1"/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/>
    </xf>
    <xf numFmtId="2" fontId="0" fillId="0" borderId="0" xfId="0" applyNumberFormat="1"/>
    <xf numFmtId="2" fontId="3" fillId="0" borderId="0" xfId="0" applyNumberFormat="1" applyFont="1" applyFill="1" applyBorder="1" applyAlignment="1"/>
    <xf numFmtId="2" fontId="3" fillId="2" borderId="0" xfId="0" applyNumberFormat="1" applyFont="1" applyFill="1" applyBorder="1" applyAlignment="1">
      <alignment horizontal="center"/>
    </xf>
    <xf numFmtId="2" fontId="4" fillId="0" borderId="0" xfId="0" applyNumberFormat="1" applyFont="1" applyBorder="1" applyAlignment="1"/>
    <xf numFmtId="2" fontId="4" fillId="0" borderId="0" xfId="0" applyNumberFormat="1" applyFont="1" applyBorder="1"/>
    <xf numFmtId="2" fontId="3" fillId="0" borderId="0" xfId="0" applyNumberFormat="1" applyFont="1" applyFill="1" applyBorder="1" applyAlignment="1">
      <alignment horizontal="center"/>
    </xf>
    <xf numFmtId="2" fontId="4" fillId="0" borderId="0" xfId="0" applyNumberFormat="1" applyFont="1" applyFill="1" applyBorder="1" applyAlignment="1"/>
    <xf numFmtId="2" fontId="4" fillId="0" borderId="0" xfId="0" applyNumberFormat="1" applyFont="1" applyFill="1" applyBorder="1"/>
    <xf numFmtId="2" fontId="2" fillId="0" borderId="0" xfId="0" applyNumberFormat="1" applyFont="1"/>
    <xf numFmtId="2" fontId="0" fillId="0" borderId="0" xfId="0" applyNumberFormat="1" applyBorder="1"/>
    <xf numFmtId="2" fontId="0" fillId="0" borderId="0" xfId="0" applyNumberFormat="1" applyBorder="1" applyAlignment="1">
      <alignment horizontal="center"/>
    </xf>
    <xf numFmtId="2" fontId="4" fillId="0" borderId="0" xfId="0" applyNumberFormat="1" applyFont="1" applyFill="1" applyBorder="1" applyAlignment="1">
      <alignment horizontal="right"/>
    </xf>
    <xf numFmtId="2" fontId="4" fillId="0" borderId="0" xfId="0" applyNumberFormat="1" applyFont="1" applyBorder="1" applyAlignment="1">
      <alignment horizontal="center"/>
    </xf>
    <xf numFmtId="2" fontId="1" fillId="0" borderId="0" xfId="0" applyNumberFormat="1" applyFont="1"/>
    <xf numFmtId="0" fontId="1" fillId="0" borderId="0" xfId="0" applyFont="1"/>
    <xf numFmtId="2" fontId="1" fillId="0" borderId="0" xfId="0" applyNumberFormat="1" applyFont="1" applyAlignment="1">
      <alignment horizontal="center"/>
    </xf>
    <xf numFmtId="2" fontId="0" fillId="0" borderId="0" xfId="0" applyNumberFormat="1" applyBorder="1" applyAlignment="1">
      <alignment horizontal="right"/>
    </xf>
    <xf numFmtId="0" fontId="0" fillId="0" borderId="0" xfId="0" applyBorder="1"/>
    <xf numFmtId="49" fontId="7" fillId="0" borderId="0" xfId="0" applyNumberFormat="1" applyFont="1"/>
    <xf numFmtId="49" fontId="7" fillId="0" borderId="0" xfId="0" applyNumberFormat="1" applyFont="1" applyAlignment="1">
      <alignment horizontal="center"/>
    </xf>
    <xf numFmtId="2" fontId="7" fillId="0" borderId="0" xfId="0" applyNumberFormat="1" applyFont="1"/>
    <xf numFmtId="2" fontId="7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2" fontId="5" fillId="0" borderId="0" xfId="0" applyNumberFormat="1" applyFont="1" applyAlignment="1">
      <alignment horizontal="left" vertical="top"/>
    </xf>
    <xf numFmtId="2" fontId="7" fillId="0" borderId="0" xfId="0" applyNumberFormat="1" applyFont="1" applyAlignment="1">
      <alignment vertical="top"/>
    </xf>
    <xf numFmtId="2" fontId="7" fillId="0" borderId="0" xfId="0" applyNumberFormat="1" applyFont="1" applyAlignment="1">
      <alignment horizontal="center" vertical="top"/>
    </xf>
    <xf numFmtId="2" fontId="7" fillId="0" borderId="0" xfId="0" applyNumberFormat="1" applyFont="1" applyBorder="1" applyAlignment="1">
      <alignment vertical="top"/>
    </xf>
    <xf numFmtId="2" fontId="7" fillId="0" borderId="1" xfId="0" applyNumberFormat="1" applyFont="1" applyBorder="1" applyAlignment="1">
      <alignment horizontal="center" vertical="top"/>
    </xf>
    <xf numFmtId="2" fontId="7" fillId="0" borderId="0" xfId="0" applyNumberFormat="1" applyFont="1" applyBorder="1" applyAlignment="1">
      <alignment horizontal="center" vertical="top"/>
    </xf>
    <xf numFmtId="2" fontId="4" fillId="0" borderId="0" xfId="0" applyNumberFormat="1" applyFont="1" applyFill="1" applyBorder="1" applyAlignment="1">
      <alignment horizontal="right" vertical="top"/>
    </xf>
    <xf numFmtId="2" fontId="4" fillId="0" borderId="0" xfId="0" applyNumberFormat="1" applyFont="1" applyBorder="1" applyAlignment="1">
      <alignment vertical="top"/>
    </xf>
    <xf numFmtId="2" fontId="4" fillId="0" borderId="0" xfId="0" applyNumberFormat="1" applyFont="1" applyAlignment="1">
      <alignment horizontal="center" vertical="top"/>
    </xf>
    <xf numFmtId="2" fontId="4" fillId="0" borderId="0" xfId="0" applyNumberFormat="1" applyFont="1" applyBorder="1" applyAlignment="1">
      <alignment horizontal="center" vertical="top"/>
    </xf>
    <xf numFmtId="2" fontId="4" fillId="0" borderId="0" xfId="0" applyNumberFormat="1" applyFont="1" applyAlignment="1">
      <alignment vertical="top"/>
    </xf>
    <xf numFmtId="2" fontId="0" fillId="0" borderId="0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2" fontId="2" fillId="0" borderId="0" xfId="0" applyNumberFormat="1" applyFont="1" applyAlignment="1">
      <alignment horizontal="center"/>
    </xf>
    <xf numFmtId="2" fontId="7" fillId="0" borderId="1" xfId="0" applyNumberFormat="1" applyFont="1" applyBorder="1" applyAlignment="1">
      <alignment vertical="top"/>
    </xf>
    <xf numFmtId="2" fontId="7" fillId="0" borderId="0" xfId="0" applyNumberFormat="1" applyFont="1" applyBorder="1" applyAlignment="1">
      <alignment horizontal="right" vertical="top"/>
    </xf>
    <xf numFmtId="2" fontId="2" fillId="0" borderId="1" xfId="0" applyNumberFormat="1" applyFont="1" applyBorder="1" applyAlignment="1">
      <alignment horizontal="center" vertical="top"/>
    </xf>
    <xf numFmtId="2" fontId="2" fillId="0" borderId="1" xfId="0" applyNumberFormat="1" applyFont="1" applyBorder="1" applyAlignment="1">
      <alignment vertical="top"/>
    </xf>
    <xf numFmtId="2" fontId="5" fillId="0" borderId="1" xfId="0" applyNumberFormat="1" applyFont="1" applyBorder="1" applyAlignment="1">
      <alignment vertical="top" wrapText="1"/>
    </xf>
    <xf numFmtId="0" fontId="0" fillId="3" borderId="0" xfId="0" applyFill="1"/>
    <xf numFmtId="49" fontId="0" fillId="3" borderId="0" xfId="0" applyNumberFormat="1" applyFill="1" applyAlignment="1">
      <alignment horizontal="center"/>
    </xf>
    <xf numFmtId="49" fontId="0" fillId="3" borderId="0" xfId="0" applyNumberFormat="1" applyFill="1" applyAlignment="1">
      <alignment horizontal="left"/>
    </xf>
    <xf numFmtId="0" fontId="2" fillId="3" borderId="0" xfId="0" applyFont="1" applyFill="1"/>
    <xf numFmtId="49" fontId="2" fillId="3" borderId="0" xfId="0" applyNumberFormat="1" applyFont="1" applyFill="1"/>
    <xf numFmtId="0" fontId="2" fillId="3" borderId="0" xfId="0" applyFont="1" applyFill="1" applyAlignment="1"/>
    <xf numFmtId="49" fontId="2" fillId="3" borderId="0" xfId="0" applyNumberFormat="1" applyFont="1" applyFill="1" applyAlignment="1">
      <alignment horizontal="center"/>
    </xf>
    <xf numFmtId="0" fontId="7" fillId="3" borderId="0" xfId="0" applyFont="1" applyFill="1"/>
    <xf numFmtId="49" fontId="7" fillId="3" borderId="0" xfId="0" applyNumberFormat="1" applyFont="1" applyFill="1" applyAlignment="1">
      <alignment horizontal="left"/>
    </xf>
    <xf numFmtId="49" fontId="7" fillId="3" borderId="0" xfId="0" applyNumberFormat="1" applyFont="1" applyFill="1" applyAlignment="1">
      <alignment horizontal="center"/>
    </xf>
    <xf numFmtId="0" fontId="1" fillId="3" borderId="0" xfId="0" applyFont="1" applyFill="1" applyAlignment="1">
      <alignment horizontal="left"/>
    </xf>
    <xf numFmtId="49" fontId="6" fillId="3" borderId="0" xfId="0" applyNumberFormat="1" applyFont="1" applyFill="1" applyAlignment="1">
      <alignment horizontal="center"/>
    </xf>
    <xf numFmtId="49" fontId="1" fillId="3" borderId="0" xfId="0" applyNumberFormat="1" applyFont="1" applyFill="1" applyAlignment="1">
      <alignment horizontal="left"/>
    </xf>
    <xf numFmtId="49" fontId="1" fillId="3" borderId="0" xfId="0" applyNumberFormat="1" applyFont="1" applyFill="1" applyAlignment="1">
      <alignment horizontal="center"/>
    </xf>
    <xf numFmtId="2" fontId="7" fillId="3" borderId="0" xfId="0" applyNumberFormat="1" applyFont="1" applyFill="1"/>
    <xf numFmtId="2" fontId="7" fillId="3" borderId="0" xfId="0" applyNumberFormat="1" applyFont="1" applyFill="1" applyAlignment="1">
      <alignment horizontal="center"/>
    </xf>
    <xf numFmtId="2" fontId="7" fillId="3" borderId="0" xfId="0" applyNumberFormat="1" applyFont="1" applyFill="1" applyAlignment="1">
      <alignment horizontal="left"/>
    </xf>
    <xf numFmtId="0" fontId="6" fillId="3" borderId="0" xfId="0" applyFont="1" applyFill="1" applyAlignment="1">
      <alignment horizontal="left"/>
    </xf>
    <xf numFmtId="2" fontId="5" fillId="0" borderId="0" xfId="0" applyNumberFormat="1" applyFont="1" applyAlignment="1">
      <alignment horizontal="center" vertical="top"/>
    </xf>
    <xf numFmtId="2" fontId="5" fillId="0" borderId="0" xfId="0" applyNumberFormat="1" applyFont="1" applyAlignment="1">
      <alignment horizontal="center" vertical="center"/>
    </xf>
    <xf numFmtId="2" fontId="5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2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vertical="center"/>
    </xf>
    <xf numFmtId="2" fontId="5" fillId="0" borderId="0" xfId="0" applyNumberFormat="1" applyFont="1" applyAlignment="1">
      <alignment vertical="center" wrapText="1"/>
    </xf>
    <xf numFmtId="2" fontId="0" fillId="0" borderId="0" xfId="0" applyNumberFormat="1" applyAlignment="1">
      <alignment horizontal="center" vertical="center"/>
    </xf>
    <xf numFmtId="0" fontId="2" fillId="3" borderId="0" xfId="0" applyFont="1" applyFill="1" applyAlignment="1">
      <alignment horizontal="left"/>
    </xf>
    <xf numFmtId="2" fontId="8" fillId="0" borderId="2" xfId="0" applyNumberFormat="1" applyFont="1" applyFill="1" applyBorder="1" applyAlignment="1">
      <alignment horizontal="center"/>
    </xf>
    <xf numFmtId="2" fontId="9" fillId="0" borderId="2" xfId="0" applyNumberFormat="1" applyFont="1" applyFill="1" applyBorder="1" applyAlignment="1"/>
    <xf numFmtId="2" fontId="9" fillId="0" borderId="2" xfId="0" applyNumberFormat="1" applyFont="1" applyFill="1" applyBorder="1"/>
    <xf numFmtId="2" fontId="3" fillId="0" borderId="2" xfId="0" applyNumberFormat="1" applyFont="1" applyFill="1" applyBorder="1" applyAlignment="1">
      <alignment horizontal="center"/>
    </xf>
    <xf numFmtId="2" fontId="4" fillId="0" borderId="2" xfId="0" applyNumberFormat="1" applyFont="1" applyFill="1" applyBorder="1" applyAlignment="1"/>
    <xf numFmtId="2" fontId="4" fillId="0" borderId="2" xfId="0" applyNumberFormat="1" applyFont="1" applyFill="1" applyBorder="1"/>
    <xf numFmtId="2" fontId="5" fillId="0" borderId="0" xfId="0" applyNumberFormat="1" applyFont="1" applyAlignment="1">
      <alignment horizontal="center"/>
    </xf>
    <xf numFmtId="49" fontId="6" fillId="3" borderId="0" xfId="0" applyNumberFormat="1" applyFont="1" applyFill="1" applyAlignment="1">
      <alignment horizontal="left"/>
    </xf>
    <xf numFmtId="49" fontId="7" fillId="3" borderId="0" xfId="0" applyNumberFormat="1" applyFont="1" applyFill="1"/>
    <xf numFmtId="0" fontId="0" fillId="0" borderId="0" xfId="0" applyAlignment="1">
      <alignment horizontal="center"/>
    </xf>
    <xf numFmtId="2" fontId="4" fillId="0" borderId="2" xfId="0" applyNumberFormat="1" applyFont="1" applyFill="1" applyBorder="1" applyAlignment="1">
      <alignment horizontal="center" vertical="top"/>
    </xf>
    <xf numFmtId="2" fontId="4" fillId="0" borderId="2" xfId="0" applyNumberFormat="1" applyFont="1" applyBorder="1" applyAlignment="1">
      <alignment vertical="top"/>
    </xf>
    <xf numFmtId="2" fontId="4" fillId="0" borderId="2" xfId="0" applyNumberFormat="1" applyFont="1" applyBorder="1" applyAlignment="1">
      <alignment horizontal="center" vertical="top"/>
    </xf>
    <xf numFmtId="14" fontId="0" fillId="0" borderId="0" xfId="0" applyNumberFormat="1"/>
    <xf numFmtId="2" fontId="5" fillId="0" borderId="0" xfId="0" applyNumberFormat="1" applyFont="1" applyAlignment="1">
      <alignment horizontal="left" vertical="center"/>
    </xf>
    <xf numFmtId="2" fontId="5" fillId="0" borderId="0" xfId="0" applyNumberFormat="1" applyFont="1" applyAlignment="1">
      <alignment horizontal="left" vertical="top" wrapText="1"/>
    </xf>
    <xf numFmtId="2" fontId="5" fillId="0" borderId="1" xfId="0" applyNumberFormat="1" applyFont="1" applyBorder="1" applyAlignment="1">
      <alignment horizontal="left" vertical="top" wrapText="1"/>
    </xf>
    <xf numFmtId="2" fontId="5" fillId="0" borderId="0" xfId="0" applyNumberFormat="1" applyFont="1" applyAlignment="1">
      <alignment horizontal="left" vertical="center" wrapText="1"/>
    </xf>
    <xf numFmtId="2" fontId="5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2" fontId="7" fillId="0" borderId="0" xfId="0" applyNumberFormat="1" applyFont="1" applyBorder="1" applyAlignment="1">
      <alignment horizontal="center" vertical="top"/>
    </xf>
    <xf numFmtId="0" fontId="2" fillId="3" borderId="0" xfId="0" applyFont="1" applyFill="1" applyAlignment="1">
      <alignment horizontal="left"/>
    </xf>
    <xf numFmtId="2" fontId="0" fillId="0" borderId="0" xfId="0" applyNumberFormat="1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2" fillId="3" borderId="0" xfId="0" applyFont="1" applyFill="1" applyAlignment="1">
      <alignment horizontal="left"/>
    </xf>
    <xf numFmtId="2" fontId="7" fillId="0" borderId="0" xfId="0" applyNumberFormat="1" applyFont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18"/>
  <sheetViews>
    <sheetView tabSelected="1" view="pageBreakPreview" zoomScaleNormal="70" zoomScaleSheetLayoutView="100" workbookViewId="0">
      <selection activeCell="A2" sqref="A2"/>
    </sheetView>
  </sheetViews>
  <sheetFormatPr defaultRowHeight="13.2" x14ac:dyDescent="0.25"/>
  <cols>
    <col min="1" max="1" width="3" customWidth="1"/>
    <col min="2" max="2" width="10.88671875" customWidth="1"/>
    <col min="3" max="3" width="25.44140625" style="3" customWidth="1"/>
    <col min="4" max="4" width="2.6640625" customWidth="1"/>
    <col min="5" max="5" width="5.88671875" style="2" customWidth="1"/>
    <col min="6" max="6" width="3.44140625" customWidth="1"/>
    <col min="7" max="7" width="11.109375" style="2" customWidth="1"/>
    <col min="8" max="8" width="4.5546875" bestFit="1" customWidth="1"/>
    <col min="9" max="9" width="11.109375" style="2" customWidth="1"/>
    <col min="10" max="10" width="10.88671875" customWidth="1"/>
    <col min="11" max="11" width="26" style="42" customWidth="1"/>
    <col min="12" max="12" width="2.6640625" customWidth="1"/>
    <col min="13" max="13" width="5.88671875" style="2" customWidth="1"/>
    <col min="14" max="14" width="2.109375" customWidth="1"/>
    <col min="15" max="15" width="10.6640625" style="2" customWidth="1"/>
    <col min="16" max="16" width="2.109375" style="3" customWidth="1"/>
    <col min="17" max="17" width="11.5546875" style="2" customWidth="1"/>
  </cols>
  <sheetData>
    <row r="1" spans="1:17" ht="15" customHeight="1" x14ac:dyDescent="0.25">
      <c r="B1" s="56"/>
      <c r="C1" s="84"/>
      <c r="E1" s="56"/>
      <c r="F1" s="84"/>
      <c r="G1"/>
      <c r="H1" s="56"/>
      <c r="I1" s="84"/>
      <c r="K1" s="84"/>
      <c r="M1" s="56"/>
      <c r="N1" s="84"/>
      <c r="O1"/>
      <c r="P1" s="56"/>
      <c r="Q1" s="84"/>
    </row>
    <row r="2" spans="1:17" x14ac:dyDescent="0.25">
      <c r="B2" s="100" t="s">
        <v>58</v>
      </c>
      <c r="C2" s="100"/>
      <c r="D2" s="49"/>
      <c r="E2" s="50"/>
      <c r="F2" s="49"/>
      <c r="G2" s="50"/>
      <c r="H2" s="49"/>
      <c r="I2" s="50"/>
      <c r="J2" s="49"/>
      <c r="K2" s="51"/>
      <c r="L2" s="49"/>
      <c r="M2" s="50"/>
      <c r="N2" s="49"/>
      <c r="O2" s="50"/>
    </row>
    <row r="3" spans="1:17" x14ac:dyDescent="0.25">
      <c r="B3" s="100" t="s">
        <v>59</v>
      </c>
      <c r="C3" s="100"/>
      <c r="D3" s="100" t="s">
        <v>43</v>
      </c>
      <c r="E3" s="100"/>
      <c r="F3" s="100"/>
      <c r="G3" s="100"/>
      <c r="H3" s="100"/>
      <c r="I3" s="55"/>
      <c r="J3" s="56"/>
      <c r="K3" s="57"/>
      <c r="L3" s="56"/>
      <c r="M3" s="58"/>
      <c r="N3" s="56"/>
      <c r="O3" s="58"/>
      <c r="P3" s="25"/>
      <c r="Q3" s="26"/>
    </row>
    <row r="4" spans="1:17" x14ac:dyDescent="0.25">
      <c r="B4" s="56"/>
      <c r="C4" s="66" t="s">
        <v>14</v>
      </c>
      <c r="D4" s="56"/>
      <c r="E4" s="58"/>
      <c r="F4" s="56"/>
      <c r="G4" s="58"/>
      <c r="H4" s="56"/>
      <c r="I4" s="58"/>
      <c r="J4" s="56"/>
      <c r="K4" s="57"/>
      <c r="L4" s="56"/>
      <c r="M4" s="58"/>
      <c r="N4" s="56"/>
      <c r="O4" s="58"/>
      <c r="P4" s="25"/>
      <c r="Q4" s="26"/>
    </row>
    <row r="5" spans="1:17" x14ac:dyDescent="0.25">
      <c r="B5" s="56"/>
      <c r="C5" s="83" t="s">
        <v>13</v>
      </c>
      <c r="D5" s="56"/>
      <c r="E5" s="58"/>
      <c r="F5" s="56"/>
      <c r="G5" s="58"/>
      <c r="H5" s="56"/>
      <c r="I5" s="58"/>
      <c r="J5" s="56"/>
      <c r="K5" s="59" t="s">
        <v>16</v>
      </c>
      <c r="L5" s="56"/>
      <c r="M5" s="58"/>
      <c r="N5" s="56"/>
      <c r="O5" s="58"/>
      <c r="P5" s="25"/>
      <c r="Q5" s="26"/>
    </row>
    <row r="6" spans="1:17" x14ac:dyDescent="0.25">
      <c r="B6" s="56"/>
      <c r="C6" s="61" t="s">
        <v>56</v>
      </c>
      <c r="D6" s="56"/>
      <c r="E6" s="58"/>
      <c r="F6" s="56"/>
      <c r="G6" s="58"/>
      <c r="H6" s="56"/>
      <c r="I6" s="60"/>
      <c r="J6" s="56"/>
      <c r="K6" s="61" t="s">
        <v>55</v>
      </c>
      <c r="L6" s="56"/>
      <c r="M6" s="58"/>
      <c r="N6" s="56"/>
      <c r="O6" s="62" t="s">
        <v>57</v>
      </c>
      <c r="P6" s="25"/>
      <c r="Q6" s="26"/>
    </row>
    <row r="7" spans="1:17" x14ac:dyDescent="0.25">
      <c r="B7" s="56"/>
      <c r="C7" s="61" t="s">
        <v>44</v>
      </c>
      <c r="I7" s="58"/>
      <c r="J7" s="56"/>
      <c r="K7" s="61" t="s">
        <v>54</v>
      </c>
      <c r="L7" s="56"/>
      <c r="M7" s="58"/>
      <c r="N7" s="56"/>
      <c r="O7" s="58"/>
      <c r="P7" s="25"/>
      <c r="Q7" s="26"/>
    </row>
    <row r="8" spans="1:17" ht="12" customHeight="1" x14ac:dyDescent="0.25">
      <c r="B8" s="63"/>
      <c r="C8" s="63"/>
      <c r="D8" s="63"/>
      <c r="E8" s="64"/>
      <c r="F8" s="63"/>
      <c r="G8" s="64"/>
      <c r="H8" s="63"/>
      <c r="I8" s="64"/>
      <c r="J8" s="63"/>
      <c r="K8" s="65"/>
      <c r="L8" s="63"/>
      <c r="M8" s="64"/>
      <c r="N8" s="63"/>
      <c r="O8" s="64"/>
      <c r="P8" s="27"/>
      <c r="Q8" s="28"/>
    </row>
    <row r="9" spans="1:17" s="1" customFormat="1" x14ac:dyDescent="0.25">
      <c r="A9"/>
      <c r="B9" s="8"/>
      <c r="C9" s="9" t="s">
        <v>0</v>
      </c>
      <c r="D9" s="10"/>
      <c r="E9" s="9" t="s">
        <v>1</v>
      </c>
      <c r="F9" s="11"/>
      <c r="G9" s="9" t="s">
        <v>3</v>
      </c>
      <c r="H9" s="11"/>
      <c r="I9" s="9" t="s">
        <v>2</v>
      </c>
      <c r="J9" s="11"/>
      <c r="K9" s="9" t="s">
        <v>0</v>
      </c>
      <c r="L9" s="10"/>
      <c r="M9" s="9" t="s">
        <v>1</v>
      </c>
      <c r="N9" s="11"/>
      <c r="O9" s="9" t="s">
        <v>3</v>
      </c>
      <c r="P9" s="11"/>
      <c r="Q9" s="9" t="s">
        <v>2</v>
      </c>
    </row>
    <row r="10" spans="1:17" x14ac:dyDescent="0.25">
      <c r="B10" s="43" t="s">
        <v>60</v>
      </c>
      <c r="C10" s="43" t="s">
        <v>15</v>
      </c>
      <c r="D10" s="27"/>
      <c r="E10" s="28"/>
      <c r="F10" s="27"/>
      <c r="G10" s="28"/>
      <c r="H10" s="27"/>
      <c r="I10" s="28"/>
      <c r="J10" s="43" t="s">
        <v>71</v>
      </c>
      <c r="K10" s="43" t="s">
        <v>18</v>
      </c>
      <c r="L10" s="27"/>
      <c r="M10" s="28"/>
      <c r="N10" s="27"/>
      <c r="O10" s="28"/>
      <c r="P10" s="27"/>
      <c r="Q10" s="28"/>
    </row>
    <row r="11" spans="1:17" x14ac:dyDescent="0.25">
      <c r="B11" s="68" t="s">
        <v>61</v>
      </c>
      <c r="C11" s="90" t="s">
        <v>62</v>
      </c>
      <c r="E11" s="71"/>
      <c r="F11" s="71"/>
      <c r="G11" s="74"/>
      <c r="H11" s="71"/>
      <c r="I11" s="71"/>
      <c r="J11" s="68" t="s">
        <v>72</v>
      </c>
      <c r="K11" s="93" t="s">
        <v>73</v>
      </c>
      <c r="M11" s="71" t="s">
        <v>74</v>
      </c>
      <c r="N11" s="71"/>
      <c r="O11" s="74">
        <v>3</v>
      </c>
      <c r="P11" s="71"/>
      <c r="Q11" s="71">
        <v>3</v>
      </c>
    </row>
    <row r="12" spans="1:17" x14ac:dyDescent="0.25">
      <c r="B12" s="67" t="s">
        <v>63</v>
      </c>
      <c r="C12" s="30" t="s">
        <v>64</v>
      </c>
      <c r="E12" s="71"/>
      <c r="F12" s="32"/>
      <c r="G12" s="4">
        <v>4</v>
      </c>
      <c r="H12" s="32"/>
      <c r="I12" s="32"/>
      <c r="J12" s="82" t="s">
        <v>75</v>
      </c>
      <c r="K12" s="94" t="s">
        <v>76</v>
      </c>
      <c r="M12" s="71" t="s">
        <v>11</v>
      </c>
      <c r="N12" s="32"/>
      <c r="O12" s="32">
        <v>3</v>
      </c>
      <c r="P12" s="32"/>
      <c r="Q12" s="32">
        <v>4</v>
      </c>
    </row>
    <row r="13" spans="1:17" x14ac:dyDescent="0.25">
      <c r="B13" s="67" t="s">
        <v>65</v>
      </c>
      <c r="C13" s="30" t="s">
        <v>66</v>
      </c>
      <c r="E13" s="71"/>
      <c r="F13" s="32"/>
      <c r="G13" s="4">
        <v>4</v>
      </c>
      <c r="H13" s="32"/>
      <c r="I13" s="32"/>
      <c r="J13" s="68" t="s">
        <v>77</v>
      </c>
      <c r="K13" s="90" t="s">
        <v>78</v>
      </c>
      <c r="M13" s="71" t="s">
        <v>79</v>
      </c>
      <c r="N13" s="71"/>
      <c r="O13" s="74">
        <v>3</v>
      </c>
      <c r="P13" s="71"/>
      <c r="Q13" s="71">
        <v>4</v>
      </c>
    </row>
    <row r="14" spans="1:17" x14ac:dyDescent="0.25">
      <c r="B14" s="67" t="s">
        <v>67</v>
      </c>
      <c r="C14" s="91" t="s">
        <v>68</v>
      </c>
      <c r="E14" s="32"/>
      <c r="F14" s="32"/>
      <c r="G14" s="4">
        <v>4</v>
      </c>
      <c r="H14" s="32"/>
      <c r="I14" s="32"/>
      <c r="J14" s="68" t="s">
        <v>80</v>
      </c>
      <c r="K14" s="93" t="s">
        <v>81</v>
      </c>
      <c r="L14" s="70"/>
      <c r="M14" s="71" t="s">
        <v>79</v>
      </c>
      <c r="N14" s="71"/>
      <c r="O14" s="2" t="s">
        <v>82</v>
      </c>
      <c r="P14" s="71"/>
      <c r="Q14" s="71">
        <v>4</v>
      </c>
    </row>
    <row r="15" spans="1:17" x14ac:dyDescent="0.25">
      <c r="B15" s="68" t="s">
        <v>69</v>
      </c>
      <c r="C15" s="90" t="s">
        <v>70</v>
      </c>
      <c r="E15" s="71"/>
      <c r="F15" s="71"/>
      <c r="G15" s="74">
        <v>4</v>
      </c>
      <c r="H15" s="71"/>
      <c r="I15" s="71"/>
      <c r="J15" s="68" t="s">
        <v>83</v>
      </c>
      <c r="K15" s="93" t="s">
        <v>84</v>
      </c>
      <c r="L15" s="70"/>
      <c r="M15" s="71" t="s">
        <v>11</v>
      </c>
      <c r="N15" s="71"/>
      <c r="O15" s="71">
        <v>3</v>
      </c>
      <c r="P15" s="71"/>
      <c r="Q15" s="71">
        <v>4</v>
      </c>
    </row>
    <row r="16" spans="1:17" x14ac:dyDescent="0.25">
      <c r="B16" s="67" t="s">
        <v>48</v>
      </c>
      <c r="C16" s="92" t="s">
        <v>49</v>
      </c>
      <c r="D16" s="44"/>
      <c r="E16" s="34"/>
      <c r="F16" s="34"/>
      <c r="G16" s="34">
        <v>4</v>
      </c>
      <c r="H16" s="34"/>
      <c r="I16" s="34"/>
      <c r="J16" s="67" t="s">
        <v>85</v>
      </c>
      <c r="K16" s="92" t="s">
        <v>86</v>
      </c>
      <c r="L16" s="44"/>
      <c r="M16" s="34" t="s">
        <v>87</v>
      </c>
      <c r="N16" s="34"/>
      <c r="O16" s="34">
        <v>3</v>
      </c>
      <c r="P16" s="34"/>
      <c r="Q16" s="34">
        <v>2.7</v>
      </c>
    </row>
    <row r="17" spans="2:18" x14ac:dyDescent="0.25">
      <c r="B17" s="96"/>
      <c r="C17" s="86" t="s">
        <v>4</v>
      </c>
      <c r="D17" s="87"/>
      <c r="E17" s="88" t="s">
        <v>5</v>
      </c>
      <c r="F17" s="87"/>
      <c r="G17" s="88" t="s">
        <v>6</v>
      </c>
      <c r="H17" s="87"/>
      <c r="I17" s="88" t="s">
        <v>7</v>
      </c>
      <c r="J17" s="35"/>
      <c r="K17" s="86" t="s">
        <v>4</v>
      </c>
      <c r="L17" s="87"/>
      <c r="M17" s="88" t="s">
        <v>5</v>
      </c>
      <c r="N17" s="87"/>
      <c r="O17" s="88" t="s">
        <v>6</v>
      </c>
      <c r="P17" s="87"/>
      <c r="Q17" s="88" t="s">
        <v>7</v>
      </c>
      <c r="R17" s="24"/>
    </row>
    <row r="18" spans="2:18" x14ac:dyDescent="0.25">
      <c r="B18" s="38" t="s">
        <v>8</v>
      </c>
      <c r="C18" s="96">
        <f>SUM(G11:G16)</f>
        <v>20</v>
      </c>
      <c r="D18" s="33"/>
      <c r="E18" s="96">
        <f>SUM(G11:G16)</f>
        <v>20</v>
      </c>
      <c r="F18" s="33"/>
      <c r="G18" s="96">
        <f>SUM(I11:I16)</f>
        <v>0</v>
      </c>
      <c r="H18" s="33"/>
      <c r="I18" s="96">
        <f>G18/E18</f>
        <v>0</v>
      </c>
      <c r="J18" s="38" t="s">
        <v>8</v>
      </c>
      <c r="K18" s="35">
        <f>SUM(O11:O16)</f>
        <v>15</v>
      </c>
      <c r="L18" s="33"/>
      <c r="M18" s="35">
        <f>SUM(O11:O16)</f>
        <v>15</v>
      </c>
      <c r="N18" s="33"/>
      <c r="O18" s="35">
        <f>SUM(Q11:Q16)</f>
        <v>21.7</v>
      </c>
      <c r="P18" s="33"/>
      <c r="Q18" s="35">
        <f>O18/M18</f>
        <v>1.4466666666666665</v>
      </c>
      <c r="R18" s="24"/>
    </row>
    <row r="19" spans="2:18" x14ac:dyDescent="0.25">
      <c r="B19" s="38" t="s">
        <v>9</v>
      </c>
      <c r="C19" s="34">
        <f>C18</f>
        <v>20</v>
      </c>
      <c r="D19" s="44"/>
      <c r="E19" s="34">
        <f>E18</f>
        <v>20</v>
      </c>
      <c r="F19" s="44"/>
      <c r="G19" s="34">
        <f>G18</f>
        <v>0</v>
      </c>
      <c r="H19" s="44"/>
      <c r="I19" s="34">
        <f>G19/E19</f>
        <v>0</v>
      </c>
      <c r="J19" s="38" t="s">
        <v>9</v>
      </c>
      <c r="K19" s="34">
        <f>K18+C19</f>
        <v>35</v>
      </c>
      <c r="L19" s="44"/>
      <c r="M19" s="34">
        <f>M18+E19</f>
        <v>35</v>
      </c>
      <c r="N19" s="44"/>
      <c r="O19" s="34">
        <f>O18+G19</f>
        <v>21.7</v>
      </c>
      <c r="P19" s="44"/>
      <c r="Q19" s="34">
        <f>O19/M19</f>
        <v>0.62</v>
      </c>
      <c r="R19" s="24"/>
    </row>
    <row r="20" spans="2:18" x14ac:dyDescent="0.25">
      <c r="B20" s="8" t="s">
        <v>48</v>
      </c>
      <c r="C20" s="79" t="s">
        <v>49</v>
      </c>
      <c r="D20" s="80"/>
      <c r="E20" s="79"/>
      <c r="F20" s="81"/>
      <c r="G20" s="79">
        <v>4</v>
      </c>
      <c r="H20" s="81"/>
      <c r="I20" s="79"/>
      <c r="J20" s="31"/>
      <c r="K20" s="76"/>
      <c r="L20" s="77"/>
      <c r="M20" s="76"/>
      <c r="N20" s="78"/>
      <c r="O20" s="76"/>
      <c r="P20" s="78"/>
      <c r="Q20" s="76"/>
      <c r="R20" s="24"/>
    </row>
    <row r="21" spans="2:18" x14ac:dyDescent="0.25">
      <c r="B21" s="8"/>
      <c r="C21" s="9" t="s">
        <v>0</v>
      </c>
      <c r="D21" s="10"/>
      <c r="E21" s="9" t="s">
        <v>1</v>
      </c>
      <c r="F21" s="11"/>
      <c r="G21" s="9" t="s">
        <v>3</v>
      </c>
      <c r="H21" s="11"/>
      <c r="I21" s="9" t="s">
        <v>2</v>
      </c>
      <c r="J21" s="11"/>
      <c r="K21" s="9" t="s">
        <v>0</v>
      </c>
      <c r="L21" s="10"/>
      <c r="M21" s="9" t="s">
        <v>1</v>
      </c>
      <c r="N21" s="11"/>
      <c r="O21" s="9" t="s">
        <v>3</v>
      </c>
      <c r="P21" s="11"/>
      <c r="Q21" s="9" t="s">
        <v>2</v>
      </c>
      <c r="R21" s="24"/>
    </row>
    <row r="22" spans="2:18" x14ac:dyDescent="0.25">
      <c r="B22" s="43" t="s">
        <v>88</v>
      </c>
      <c r="C22" s="43" t="s">
        <v>19</v>
      </c>
      <c r="D22" s="27"/>
      <c r="E22" s="28"/>
      <c r="F22" s="27"/>
      <c r="G22" s="28"/>
      <c r="H22" s="27"/>
      <c r="I22" s="28"/>
      <c r="J22" s="43" t="s">
        <v>102</v>
      </c>
      <c r="K22" s="43" t="s">
        <v>21</v>
      </c>
      <c r="L22" s="31"/>
      <c r="M22" s="32"/>
      <c r="N22" s="31"/>
      <c r="O22" s="32"/>
      <c r="P22" s="31"/>
      <c r="Q22" s="32"/>
      <c r="R22" s="24"/>
    </row>
    <row r="23" spans="2:18" x14ac:dyDescent="0.25">
      <c r="B23" s="68" t="s">
        <v>89</v>
      </c>
      <c r="C23" s="90" t="s">
        <v>90</v>
      </c>
      <c r="E23" s="71" t="s">
        <v>91</v>
      </c>
      <c r="F23" s="71"/>
      <c r="G23" s="74">
        <v>3</v>
      </c>
      <c r="H23" s="71"/>
      <c r="I23" s="71">
        <v>3.7</v>
      </c>
      <c r="J23" s="68" t="s">
        <v>103</v>
      </c>
      <c r="K23" s="90" t="s">
        <v>104</v>
      </c>
      <c r="M23" s="71" t="s">
        <v>105</v>
      </c>
      <c r="N23" s="71"/>
      <c r="O23" s="74">
        <v>3</v>
      </c>
      <c r="P23" s="71"/>
      <c r="Q23" s="71">
        <v>2.2999999999999998</v>
      </c>
      <c r="R23" s="24"/>
    </row>
    <row r="24" spans="2:18" ht="22.8" x14ac:dyDescent="0.25">
      <c r="B24" s="68" t="s">
        <v>92</v>
      </c>
      <c r="C24" s="90" t="s">
        <v>93</v>
      </c>
      <c r="E24" s="71" t="s">
        <v>74</v>
      </c>
      <c r="F24" s="71"/>
      <c r="G24" s="74">
        <v>3</v>
      </c>
      <c r="H24" s="71"/>
      <c r="I24" s="71">
        <v>3</v>
      </c>
      <c r="J24" s="68" t="s">
        <v>106</v>
      </c>
      <c r="K24" s="93" t="s">
        <v>107</v>
      </c>
      <c r="M24" s="71" t="s">
        <v>91</v>
      </c>
      <c r="N24" s="71"/>
      <c r="O24" s="74">
        <v>3</v>
      </c>
      <c r="P24" s="71"/>
      <c r="Q24" s="71">
        <v>3.7</v>
      </c>
      <c r="R24" s="24"/>
    </row>
    <row r="25" spans="2:18" ht="22.8" x14ac:dyDescent="0.25">
      <c r="B25" s="68" t="s">
        <v>94</v>
      </c>
      <c r="C25" s="90" t="s">
        <v>95</v>
      </c>
      <c r="E25" s="71" t="s">
        <v>12</v>
      </c>
      <c r="F25" s="71"/>
      <c r="G25" s="74">
        <v>3</v>
      </c>
      <c r="H25" s="71"/>
      <c r="I25" s="71">
        <v>3.3</v>
      </c>
      <c r="J25" s="68" t="s">
        <v>108</v>
      </c>
      <c r="K25" s="93" t="s">
        <v>109</v>
      </c>
      <c r="M25" s="71" t="s">
        <v>91</v>
      </c>
      <c r="N25" s="71"/>
      <c r="O25" s="74">
        <v>3</v>
      </c>
      <c r="P25" s="71"/>
      <c r="Q25" s="71">
        <v>3.7</v>
      </c>
      <c r="R25" s="24"/>
    </row>
    <row r="26" spans="2:18" x14ac:dyDescent="0.25">
      <c r="B26" s="85" t="s">
        <v>96</v>
      </c>
      <c r="C26" s="95" t="s">
        <v>97</v>
      </c>
      <c r="E26" s="85" t="s">
        <v>11</v>
      </c>
      <c r="F26" s="85"/>
      <c r="G26" s="85">
        <v>3</v>
      </c>
      <c r="H26" s="85"/>
      <c r="I26" s="85">
        <v>4</v>
      </c>
      <c r="J26" s="85" t="s">
        <v>110</v>
      </c>
      <c r="K26" s="95" t="s">
        <v>111</v>
      </c>
      <c r="M26" s="85" t="s">
        <v>11</v>
      </c>
      <c r="N26" s="85"/>
      <c r="O26" s="85">
        <v>3</v>
      </c>
      <c r="P26" s="85"/>
      <c r="Q26" s="85">
        <v>4</v>
      </c>
    </row>
    <row r="27" spans="2:18" x14ac:dyDescent="0.25">
      <c r="B27" s="85" t="s">
        <v>98</v>
      </c>
      <c r="C27" s="95" t="s">
        <v>99</v>
      </c>
      <c r="E27" s="85" t="s">
        <v>12</v>
      </c>
      <c r="F27" s="85"/>
      <c r="G27" s="85">
        <v>3</v>
      </c>
      <c r="H27" s="85"/>
      <c r="I27" s="85">
        <v>3.3</v>
      </c>
      <c r="J27" s="85"/>
      <c r="K27" s="95"/>
      <c r="M27" s="85"/>
      <c r="N27" s="85"/>
      <c r="O27" s="85"/>
      <c r="P27" s="85"/>
      <c r="Q27" s="85"/>
    </row>
    <row r="28" spans="2:18" x14ac:dyDescent="0.25">
      <c r="B28" s="85" t="s">
        <v>100</v>
      </c>
      <c r="C28" s="95" t="s">
        <v>101</v>
      </c>
      <c r="E28" s="85" t="s">
        <v>11</v>
      </c>
      <c r="F28" s="85"/>
      <c r="G28" s="85">
        <v>3</v>
      </c>
      <c r="H28" s="85"/>
      <c r="I28" s="85">
        <v>4</v>
      </c>
      <c r="J28" s="85"/>
      <c r="K28" s="95"/>
      <c r="M28" s="85"/>
      <c r="N28" s="85"/>
      <c r="O28" s="85"/>
      <c r="P28" s="85"/>
      <c r="Q28" s="85"/>
    </row>
    <row r="29" spans="2:18" x14ac:dyDescent="0.25">
      <c r="B29" s="35"/>
      <c r="C29" s="86" t="s">
        <v>4</v>
      </c>
      <c r="D29" s="87"/>
      <c r="E29" s="88" t="s">
        <v>5</v>
      </c>
      <c r="F29" s="87"/>
      <c r="G29" s="88" t="s">
        <v>6</v>
      </c>
      <c r="H29" s="87"/>
      <c r="I29" s="88" t="s">
        <v>7</v>
      </c>
      <c r="J29" s="35"/>
      <c r="K29" s="86" t="s">
        <v>4</v>
      </c>
      <c r="L29" s="87"/>
      <c r="M29" s="88" t="s">
        <v>5</v>
      </c>
      <c r="N29" s="87"/>
      <c r="O29" s="88" t="s">
        <v>6</v>
      </c>
      <c r="P29" s="87"/>
      <c r="Q29" s="88" t="s">
        <v>7</v>
      </c>
    </row>
    <row r="30" spans="2:18" x14ac:dyDescent="0.25">
      <c r="B30" s="38" t="s">
        <v>8</v>
      </c>
      <c r="C30" s="35">
        <f>SUM(G23:G28)</f>
        <v>18</v>
      </c>
      <c r="D30" s="33"/>
      <c r="E30" s="35">
        <f>SUM(G23:G28)</f>
        <v>18</v>
      </c>
      <c r="F30" s="33"/>
      <c r="G30" s="35">
        <f>SUM(I23:I28)</f>
        <v>21.3</v>
      </c>
      <c r="H30" s="33"/>
      <c r="I30" s="35">
        <f>G30/E30</f>
        <v>1.1833333333333333</v>
      </c>
      <c r="J30" s="38" t="s">
        <v>8</v>
      </c>
      <c r="K30" s="35">
        <f>SUM(O23:O28)</f>
        <v>12</v>
      </c>
      <c r="L30" s="33"/>
      <c r="M30" s="35">
        <f>SUM(O23:O28)</f>
        <v>12</v>
      </c>
      <c r="N30" s="33"/>
      <c r="O30" s="35">
        <f>SUM(Q23:Q28)</f>
        <v>13.7</v>
      </c>
      <c r="P30" s="33"/>
      <c r="Q30" s="35">
        <f>O30/M30</f>
        <v>1.1416666666666666</v>
      </c>
    </row>
    <row r="31" spans="2:18" x14ac:dyDescent="0.25">
      <c r="B31" s="38" t="s">
        <v>9</v>
      </c>
      <c r="C31" s="34">
        <f>C30+K19</f>
        <v>53</v>
      </c>
      <c r="D31" s="44"/>
      <c r="E31" s="34">
        <f>E30+M19</f>
        <v>53</v>
      </c>
      <c r="F31" s="44"/>
      <c r="G31" s="34">
        <f>G30+O19</f>
        <v>43</v>
      </c>
      <c r="H31" s="44"/>
      <c r="I31" s="34">
        <f>G31/E31</f>
        <v>0.81132075471698117</v>
      </c>
      <c r="J31" s="38" t="s">
        <v>9</v>
      </c>
      <c r="K31" s="34">
        <f>K30+C31</f>
        <v>65</v>
      </c>
      <c r="L31" s="44"/>
      <c r="M31" s="34">
        <f>M30+E31</f>
        <v>65</v>
      </c>
      <c r="N31" s="44"/>
      <c r="O31" s="34">
        <f>O30+G31</f>
        <v>56.7</v>
      </c>
      <c r="P31" s="44"/>
      <c r="Q31" s="34">
        <f>O31/M31</f>
        <v>0.87230769230769234</v>
      </c>
    </row>
    <row r="32" spans="2:18" x14ac:dyDescent="0.25">
      <c r="B32" s="16"/>
      <c r="C32" s="16"/>
      <c r="D32" s="16"/>
      <c r="E32" s="17"/>
      <c r="F32" s="16"/>
      <c r="G32" s="17"/>
      <c r="H32" s="16"/>
      <c r="I32" s="17"/>
      <c r="J32" s="16"/>
      <c r="K32" s="41"/>
      <c r="L32" s="7"/>
      <c r="M32" s="4"/>
      <c r="N32" s="7"/>
      <c r="O32" s="22"/>
      <c r="P32" s="7"/>
      <c r="Q32" s="4"/>
    </row>
    <row r="33" spans="2:18" x14ac:dyDescent="0.25">
      <c r="B33" s="16"/>
      <c r="C33" s="16"/>
      <c r="D33" s="16"/>
      <c r="E33" s="17"/>
      <c r="F33" s="16"/>
      <c r="G33" s="17"/>
      <c r="H33" s="16"/>
      <c r="I33" s="17"/>
      <c r="J33" s="16"/>
      <c r="K33" s="41"/>
      <c r="L33" s="7"/>
      <c r="M33" s="4"/>
      <c r="N33" s="7"/>
      <c r="O33" s="29" t="s">
        <v>32</v>
      </c>
      <c r="P33" s="7"/>
      <c r="Q33" s="4"/>
    </row>
    <row r="34" spans="2:18" x14ac:dyDescent="0.25">
      <c r="B34" s="16"/>
      <c r="C34" s="16"/>
      <c r="D34" s="16"/>
      <c r="E34" s="17"/>
      <c r="F34" s="16"/>
      <c r="G34" s="17"/>
      <c r="H34" s="16"/>
      <c r="I34" s="17"/>
      <c r="J34" s="16"/>
      <c r="K34" s="41"/>
      <c r="L34" s="7"/>
      <c r="M34" s="4"/>
      <c r="N34" s="7"/>
      <c r="O34" s="22" t="s">
        <v>45</v>
      </c>
      <c r="P34" s="7"/>
      <c r="Q34" s="4"/>
    </row>
    <row r="35" spans="2:18" x14ac:dyDescent="0.25">
      <c r="B35" s="16"/>
      <c r="C35" s="16"/>
      <c r="D35" s="16"/>
      <c r="E35" s="17"/>
      <c r="F35" s="16"/>
      <c r="G35" s="17"/>
      <c r="H35" s="16"/>
      <c r="I35" s="17"/>
      <c r="J35" s="16"/>
      <c r="K35" s="41"/>
      <c r="L35" s="7"/>
      <c r="M35" s="4"/>
      <c r="N35" s="7"/>
      <c r="O35" s="22"/>
      <c r="P35" s="7"/>
      <c r="Q35" s="4"/>
    </row>
    <row r="36" spans="2:18" x14ac:dyDescent="0.25">
      <c r="B36" s="16"/>
      <c r="C36" s="16"/>
      <c r="E36" s="16"/>
      <c r="F36" s="16"/>
      <c r="G36"/>
      <c r="H36" s="16"/>
      <c r="I36" s="16"/>
      <c r="K36" s="16"/>
      <c r="M36" s="16"/>
      <c r="N36" s="16"/>
      <c r="O36" s="89"/>
      <c r="P36" s="16"/>
      <c r="Q36" s="16"/>
    </row>
    <row r="37" spans="2:18" x14ac:dyDescent="0.25">
      <c r="B37" s="16"/>
      <c r="C37" s="16"/>
      <c r="D37" s="16"/>
      <c r="E37" s="17"/>
      <c r="F37" s="16"/>
      <c r="G37" s="17"/>
      <c r="H37" s="16"/>
      <c r="I37" s="17"/>
      <c r="J37" s="16"/>
      <c r="K37" s="41"/>
      <c r="L37" s="7"/>
      <c r="M37" s="4"/>
      <c r="N37" s="7"/>
      <c r="O37" s="22"/>
      <c r="P37" s="7"/>
      <c r="Q37" s="4"/>
    </row>
    <row r="38" spans="2:18" x14ac:dyDescent="0.25">
      <c r="B38" s="16"/>
      <c r="C38" s="16"/>
      <c r="D38" s="16"/>
      <c r="E38" s="17"/>
      <c r="F38" s="16"/>
      <c r="G38" s="17"/>
      <c r="H38" s="16"/>
      <c r="I38" s="17"/>
      <c r="J38" s="16"/>
      <c r="K38" s="41"/>
      <c r="L38" s="7"/>
      <c r="M38" s="4"/>
      <c r="N38" s="7"/>
      <c r="O38" s="22"/>
      <c r="P38" s="7"/>
      <c r="Q38" s="4"/>
    </row>
    <row r="39" spans="2:18" x14ac:dyDescent="0.25">
      <c r="B39" s="16"/>
      <c r="C39" s="16"/>
      <c r="D39" s="16"/>
      <c r="E39" s="17"/>
      <c r="F39" s="16"/>
      <c r="G39" s="17"/>
      <c r="H39" s="16"/>
      <c r="I39" s="17"/>
      <c r="J39" s="16"/>
      <c r="K39" s="41"/>
      <c r="L39" s="7"/>
      <c r="M39" s="4"/>
      <c r="N39" s="7"/>
      <c r="O39" s="22"/>
      <c r="P39" s="7"/>
      <c r="Q39" s="4"/>
    </row>
    <row r="40" spans="2:18" x14ac:dyDescent="0.25">
      <c r="B40" s="16"/>
      <c r="C40" s="16"/>
      <c r="D40" s="16"/>
      <c r="E40" s="17"/>
      <c r="F40" s="16"/>
      <c r="G40" s="17"/>
      <c r="H40" s="16"/>
      <c r="I40" s="17"/>
      <c r="J40" s="16"/>
      <c r="K40" s="41"/>
      <c r="L40" s="7"/>
      <c r="M40" s="4"/>
      <c r="N40" s="7"/>
      <c r="O40" s="22"/>
      <c r="P40" s="7"/>
      <c r="Q40" s="4"/>
    </row>
    <row r="41" spans="2:18" x14ac:dyDescent="0.25">
      <c r="B41" s="16"/>
      <c r="C41" s="18"/>
      <c r="D41" s="11"/>
      <c r="E41" s="19"/>
      <c r="F41" s="11"/>
      <c r="G41" s="19"/>
      <c r="H41" s="11"/>
      <c r="I41" s="19"/>
      <c r="J41" s="16"/>
      <c r="K41" s="41"/>
      <c r="L41" s="7"/>
      <c r="M41" s="4"/>
      <c r="N41" s="7"/>
      <c r="O41" s="4"/>
      <c r="P41" s="7"/>
      <c r="Q41" s="4"/>
    </row>
    <row r="42" spans="2:18" x14ac:dyDescent="0.25">
      <c r="B42" s="11"/>
      <c r="C42" s="23"/>
      <c r="D42" s="16"/>
      <c r="E42" s="17"/>
      <c r="F42" s="16"/>
      <c r="G42" s="17"/>
      <c r="H42" s="99"/>
      <c r="I42" s="99"/>
      <c r="J42" s="16"/>
      <c r="K42" s="41"/>
      <c r="L42" s="7"/>
      <c r="M42" s="4"/>
      <c r="N42" s="7"/>
      <c r="O42" s="4"/>
      <c r="P42" s="7"/>
      <c r="Q42" s="4"/>
    </row>
    <row r="43" spans="2:18" x14ac:dyDescent="0.25">
      <c r="C43"/>
      <c r="E43"/>
      <c r="G43"/>
      <c r="I43"/>
      <c r="K43"/>
      <c r="M43"/>
      <c r="O43"/>
      <c r="P43"/>
      <c r="Q43"/>
    </row>
    <row r="44" spans="2:18" x14ac:dyDescent="0.25">
      <c r="C44"/>
      <c r="E44"/>
      <c r="G44"/>
      <c r="I44"/>
      <c r="K44"/>
      <c r="M44"/>
      <c r="O44"/>
      <c r="P44"/>
      <c r="Q44"/>
    </row>
    <row r="45" spans="2:18" x14ac:dyDescent="0.25">
      <c r="C45"/>
      <c r="E45"/>
      <c r="G45"/>
      <c r="I45"/>
      <c r="K45"/>
      <c r="M45"/>
      <c r="O45"/>
      <c r="P45"/>
      <c r="Q45"/>
    </row>
    <row r="46" spans="2:18" x14ac:dyDescent="0.25">
      <c r="C46"/>
      <c r="E46"/>
      <c r="G46"/>
      <c r="I46"/>
      <c r="K46"/>
      <c r="M46"/>
      <c r="O46"/>
      <c r="P46"/>
      <c r="Q46"/>
      <c r="R46" s="21"/>
    </row>
    <row r="47" spans="2:18" x14ac:dyDescent="0.25">
      <c r="B47" s="100" t="str">
        <f>$B$2</f>
        <v xml:space="preserve">Student Name: Youssef Ibrahim El Masry </v>
      </c>
      <c r="C47" s="100"/>
      <c r="D47" s="49"/>
      <c r="E47" s="50"/>
      <c r="F47" s="49"/>
      <c r="G47" s="50"/>
      <c r="H47" s="49"/>
      <c r="I47" s="50"/>
      <c r="J47" s="49"/>
      <c r="K47" s="51"/>
      <c r="L47" s="49"/>
      <c r="M47" s="50"/>
      <c r="N47" s="49"/>
      <c r="O47" s="50"/>
      <c r="R47" s="21"/>
    </row>
    <row r="48" spans="2:18" x14ac:dyDescent="0.25">
      <c r="B48" s="100" t="str">
        <f>$B$3</f>
        <v>Student ID: CE-1610501</v>
      </c>
      <c r="C48" s="100"/>
      <c r="D48" s="100" t="s">
        <v>29</v>
      </c>
      <c r="E48" s="100"/>
      <c r="F48" s="100"/>
      <c r="G48" s="100"/>
      <c r="H48" s="100"/>
      <c r="I48" s="55"/>
      <c r="J48" s="56"/>
      <c r="K48" s="57"/>
      <c r="L48" s="56"/>
      <c r="M48" s="58"/>
      <c r="N48" s="56"/>
      <c r="O48" s="58"/>
      <c r="P48" s="25"/>
      <c r="Q48" s="26"/>
      <c r="R48" s="21"/>
    </row>
    <row r="49" spans="2:18" x14ac:dyDescent="0.25">
      <c r="B49" s="16"/>
      <c r="C49" s="16"/>
      <c r="D49" s="16"/>
      <c r="E49" s="17"/>
      <c r="F49" s="16"/>
      <c r="G49" s="17"/>
      <c r="H49" s="16"/>
      <c r="I49" s="17"/>
      <c r="J49" s="16"/>
      <c r="K49" s="98"/>
      <c r="L49" s="7"/>
      <c r="M49" s="4"/>
      <c r="N49" s="7"/>
      <c r="O49" s="4"/>
      <c r="P49" s="7"/>
      <c r="Q49" s="4"/>
      <c r="R49" s="21"/>
    </row>
    <row r="50" spans="2:18" x14ac:dyDescent="0.25">
      <c r="B50" s="8"/>
      <c r="C50" s="9" t="s">
        <v>0</v>
      </c>
      <c r="D50" s="10"/>
      <c r="E50" s="9" t="s">
        <v>1</v>
      </c>
      <c r="F50" s="11"/>
      <c r="G50" s="9" t="s">
        <v>3</v>
      </c>
      <c r="H50" s="11"/>
      <c r="I50" s="9" t="s">
        <v>2</v>
      </c>
      <c r="J50" s="11"/>
      <c r="K50" s="9" t="s">
        <v>0</v>
      </c>
      <c r="L50" s="10"/>
      <c r="M50" s="9" t="s">
        <v>1</v>
      </c>
      <c r="N50" s="11"/>
      <c r="O50" s="9" t="s">
        <v>3</v>
      </c>
      <c r="P50" s="11"/>
      <c r="Q50" s="9" t="s">
        <v>2</v>
      </c>
      <c r="R50" s="21"/>
    </row>
    <row r="51" spans="2:18" x14ac:dyDescent="0.25">
      <c r="B51" s="43" t="s">
        <v>112</v>
      </c>
      <c r="C51" s="43" t="s">
        <v>23</v>
      </c>
      <c r="D51" s="27"/>
      <c r="E51" s="28"/>
      <c r="F51" s="27"/>
      <c r="G51" s="28"/>
      <c r="H51" s="27"/>
      <c r="I51" s="28"/>
      <c r="J51" s="43" t="s">
        <v>40</v>
      </c>
      <c r="K51" s="43" t="s">
        <v>24</v>
      </c>
      <c r="L51" s="27"/>
      <c r="M51" s="28"/>
      <c r="N51" s="27"/>
      <c r="O51" s="28"/>
      <c r="P51" s="27"/>
      <c r="Q51" s="28"/>
      <c r="R51" s="21"/>
    </row>
    <row r="52" spans="2:18" x14ac:dyDescent="0.25">
      <c r="B52" s="68" t="s">
        <v>113</v>
      </c>
      <c r="C52" s="90" t="s">
        <v>114</v>
      </c>
      <c r="E52" s="71" t="s">
        <v>12</v>
      </c>
      <c r="F52" s="71"/>
      <c r="G52" s="74">
        <v>3</v>
      </c>
      <c r="H52" s="71"/>
      <c r="I52" s="71">
        <v>3.3</v>
      </c>
      <c r="J52" s="68" t="s">
        <v>125</v>
      </c>
      <c r="K52" s="93" t="s">
        <v>126</v>
      </c>
      <c r="M52" s="71" t="s">
        <v>12</v>
      </c>
      <c r="N52" s="71"/>
      <c r="O52" s="74">
        <v>3</v>
      </c>
      <c r="P52" s="71"/>
      <c r="Q52" s="71">
        <v>3.3</v>
      </c>
      <c r="R52" s="21"/>
    </row>
    <row r="53" spans="2:18" x14ac:dyDescent="0.25">
      <c r="B53" s="67" t="s">
        <v>115</v>
      </c>
      <c r="C53" s="30" t="s">
        <v>116</v>
      </c>
      <c r="E53" s="71" t="s">
        <v>12</v>
      </c>
      <c r="F53" s="32"/>
      <c r="G53" s="4">
        <v>2</v>
      </c>
      <c r="H53" s="32"/>
      <c r="I53" s="32">
        <v>3.3</v>
      </c>
      <c r="J53" s="82"/>
      <c r="K53" s="94"/>
      <c r="M53" s="71"/>
      <c r="N53" s="32"/>
      <c r="O53" s="32"/>
      <c r="P53" s="32"/>
      <c r="Q53" s="32"/>
      <c r="R53" s="21"/>
    </row>
    <row r="54" spans="2:18" x14ac:dyDescent="0.25">
      <c r="B54" s="67" t="s">
        <v>117</v>
      </c>
      <c r="C54" s="30" t="s">
        <v>118</v>
      </c>
      <c r="E54" s="71" t="s">
        <v>74</v>
      </c>
      <c r="F54" s="32"/>
      <c r="G54" s="4">
        <v>3</v>
      </c>
      <c r="H54" s="32"/>
      <c r="I54" s="32">
        <v>3</v>
      </c>
      <c r="J54" s="68"/>
      <c r="K54" s="90"/>
      <c r="M54" s="71"/>
      <c r="N54" s="71"/>
      <c r="O54" s="74"/>
      <c r="P54" s="71"/>
      <c r="Q54" s="71"/>
      <c r="R54" s="21"/>
    </row>
    <row r="55" spans="2:18" ht="22.8" x14ac:dyDescent="0.25">
      <c r="B55" s="67" t="s">
        <v>119</v>
      </c>
      <c r="C55" s="91" t="s">
        <v>120</v>
      </c>
      <c r="E55" s="32" t="s">
        <v>12</v>
      </c>
      <c r="F55" s="32"/>
      <c r="G55" s="4">
        <v>3</v>
      </c>
      <c r="H55" s="32"/>
      <c r="I55" s="32">
        <v>3.3</v>
      </c>
      <c r="J55" s="68"/>
      <c r="K55" s="93"/>
      <c r="L55" s="70"/>
      <c r="M55" s="71"/>
      <c r="N55" s="71"/>
      <c r="O55" s="2" t="s">
        <v>127</v>
      </c>
      <c r="P55" s="71"/>
      <c r="Q55" s="71"/>
      <c r="R55" s="21"/>
    </row>
    <row r="56" spans="2:18" x14ac:dyDescent="0.25">
      <c r="B56" s="68" t="s">
        <v>121</v>
      </c>
      <c r="C56" s="90" t="s">
        <v>122</v>
      </c>
      <c r="E56" s="71" t="s">
        <v>105</v>
      </c>
      <c r="F56" s="71"/>
      <c r="G56" s="74">
        <v>3</v>
      </c>
      <c r="H56" s="71"/>
      <c r="I56" s="71">
        <v>2.2999999999999998</v>
      </c>
      <c r="J56" s="68"/>
      <c r="K56" s="93"/>
      <c r="L56" s="70"/>
      <c r="M56" s="71"/>
      <c r="N56" s="71"/>
      <c r="O56" s="71"/>
      <c r="P56" s="71"/>
      <c r="Q56" s="71"/>
      <c r="R56" s="21"/>
    </row>
    <row r="57" spans="2:18" ht="22.8" x14ac:dyDescent="0.25">
      <c r="B57" s="67" t="s">
        <v>123</v>
      </c>
      <c r="C57" s="92" t="s">
        <v>124</v>
      </c>
      <c r="D57" s="44"/>
      <c r="E57" s="34" t="s">
        <v>105</v>
      </c>
      <c r="F57" s="34"/>
      <c r="G57" s="34">
        <v>3</v>
      </c>
      <c r="H57" s="34"/>
      <c r="I57" s="34">
        <v>2.2999999999999998</v>
      </c>
      <c r="J57" s="67"/>
      <c r="K57" s="92"/>
      <c r="L57" s="44"/>
      <c r="M57" s="34"/>
      <c r="N57" s="34"/>
      <c r="O57" s="34"/>
      <c r="P57" s="34"/>
      <c r="Q57" s="34"/>
      <c r="R57" s="21"/>
    </row>
    <row r="58" spans="2:18" x14ac:dyDescent="0.25">
      <c r="B58" s="96"/>
      <c r="C58" s="86" t="s">
        <v>4</v>
      </c>
      <c r="D58" s="87"/>
      <c r="E58" s="88" t="s">
        <v>5</v>
      </c>
      <c r="F58" s="87"/>
      <c r="G58" s="88" t="s">
        <v>6</v>
      </c>
      <c r="H58" s="87"/>
      <c r="I58" s="88" t="s">
        <v>7</v>
      </c>
      <c r="J58" s="96"/>
      <c r="K58" s="86" t="s">
        <v>4</v>
      </c>
      <c r="L58" s="87"/>
      <c r="M58" s="88" t="s">
        <v>5</v>
      </c>
      <c r="N58" s="87"/>
      <c r="O58" s="88" t="s">
        <v>6</v>
      </c>
      <c r="P58" s="87"/>
      <c r="Q58" s="88" t="s">
        <v>7</v>
      </c>
      <c r="R58" s="21"/>
    </row>
    <row r="59" spans="2:18" x14ac:dyDescent="0.25">
      <c r="B59" s="38" t="s">
        <v>8</v>
      </c>
      <c r="C59" s="96">
        <f>SUM(G52:G57)</f>
        <v>17</v>
      </c>
      <c r="D59" s="33"/>
      <c r="E59" s="96">
        <f>SUM(G52:G57)</f>
        <v>17</v>
      </c>
      <c r="F59" s="33"/>
      <c r="G59" s="96">
        <f>SUM(I52:I57)</f>
        <v>17.5</v>
      </c>
      <c r="H59" s="33"/>
      <c r="I59" s="96">
        <f>G59/E59</f>
        <v>1.0294117647058822</v>
      </c>
      <c r="J59" s="38" t="s">
        <v>8</v>
      </c>
      <c r="K59" s="96">
        <f>SUM(O52:O57)</f>
        <v>3</v>
      </c>
      <c r="L59" s="33"/>
      <c r="M59" s="96">
        <f>SUM(O52:O57)</f>
        <v>3</v>
      </c>
      <c r="N59" s="33"/>
      <c r="O59" s="96">
        <f>SUM(Q52:Q57)</f>
        <v>3.3</v>
      </c>
      <c r="P59" s="33"/>
      <c r="Q59" s="96">
        <f>O59/M59</f>
        <v>1.0999999999999999</v>
      </c>
      <c r="R59" s="21"/>
    </row>
    <row r="60" spans="2:18" x14ac:dyDescent="0.25">
      <c r="B60" s="38" t="s">
        <v>9</v>
      </c>
      <c r="C60" s="34">
        <f>C59+K35</f>
        <v>17</v>
      </c>
      <c r="D60" s="44"/>
      <c r="E60" s="34">
        <f>E59+M35</f>
        <v>17</v>
      </c>
      <c r="F60" s="44"/>
      <c r="G60" s="34">
        <f>G59+O35</f>
        <v>17.5</v>
      </c>
      <c r="H60" s="44"/>
      <c r="I60" s="34">
        <f>G60/E60</f>
        <v>1.0294117647058822</v>
      </c>
      <c r="J60" s="38" t="s">
        <v>9</v>
      </c>
      <c r="K60" s="34">
        <f>K59+C60</f>
        <v>20</v>
      </c>
      <c r="L60" s="44"/>
      <c r="M60" s="34">
        <f>M59+E60</f>
        <v>20</v>
      </c>
      <c r="N60" s="44"/>
      <c r="O60" s="34">
        <f>O59+G60</f>
        <v>20.8</v>
      </c>
      <c r="P60" s="44"/>
      <c r="Q60" s="34">
        <f>O60/M60</f>
        <v>1.04</v>
      </c>
    </row>
    <row r="61" spans="2:18" x14ac:dyDescent="0.25">
      <c r="B61" s="8" t="s">
        <v>40</v>
      </c>
      <c r="C61" s="79"/>
      <c r="D61" s="80"/>
      <c r="E61" s="79"/>
      <c r="F61" s="81"/>
      <c r="G61" s="79"/>
      <c r="H61" s="81"/>
      <c r="I61" s="79"/>
      <c r="J61" s="31"/>
      <c r="K61" s="76"/>
      <c r="L61" s="77"/>
      <c r="M61" s="76"/>
      <c r="N61" s="78"/>
      <c r="O61" s="76"/>
      <c r="P61" s="78"/>
      <c r="Q61" s="76"/>
    </row>
    <row r="62" spans="2:18" x14ac:dyDescent="0.25">
      <c r="B62" s="8"/>
      <c r="C62" s="9" t="s">
        <v>0</v>
      </c>
      <c r="D62" s="10"/>
      <c r="E62" s="9" t="s">
        <v>1</v>
      </c>
      <c r="F62" s="11"/>
      <c r="G62" s="9" t="s">
        <v>3</v>
      </c>
      <c r="H62" s="11"/>
      <c r="I62" s="9" t="s">
        <v>2</v>
      </c>
      <c r="J62" s="11"/>
      <c r="K62" s="9" t="s">
        <v>0</v>
      </c>
      <c r="L62" s="10"/>
      <c r="M62" s="9" t="s">
        <v>1</v>
      </c>
      <c r="N62" s="11"/>
      <c r="O62" s="9" t="s">
        <v>3</v>
      </c>
      <c r="P62" s="11"/>
      <c r="Q62" s="9" t="s">
        <v>2</v>
      </c>
    </row>
    <row r="63" spans="2:18" x14ac:dyDescent="0.25">
      <c r="B63" s="43" t="s">
        <v>26</v>
      </c>
      <c r="C63" s="43" t="s">
        <v>41</v>
      </c>
      <c r="D63" s="27"/>
      <c r="E63" s="28"/>
      <c r="F63" s="27"/>
      <c r="G63" s="28"/>
      <c r="H63" s="27"/>
      <c r="I63" s="28"/>
      <c r="J63" s="43" t="s">
        <v>138</v>
      </c>
      <c r="K63" s="43" t="s">
        <v>42</v>
      </c>
      <c r="L63" s="27"/>
      <c r="M63" s="28"/>
      <c r="N63" s="27"/>
      <c r="O63" s="28"/>
      <c r="P63" s="27"/>
      <c r="Q63" s="28"/>
    </row>
    <row r="64" spans="2:18" x14ac:dyDescent="0.25">
      <c r="B64" s="68" t="s">
        <v>128</v>
      </c>
      <c r="C64" s="90" t="s">
        <v>129</v>
      </c>
      <c r="E64" s="71" t="s">
        <v>12</v>
      </c>
      <c r="F64" s="71"/>
      <c r="G64" s="74">
        <v>3</v>
      </c>
      <c r="H64" s="71"/>
      <c r="I64" s="71">
        <v>3.3</v>
      </c>
      <c r="J64" s="68" t="s">
        <v>139</v>
      </c>
      <c r="K64" s="90" t="s">
        <v>140</v>
      </c>
      <c r="M64" s="71" t="s">
        <v>12</v>
      </c>
      <c r="N64" s="71"/>
      <c r="O64" s="74">
        <v>3</v>
      </c>
      <c r="P64" s="71"/>
      <c r="Q64" s="71">
        <v>3.3</v>
      </c>
    </row>
    <row r="65" spans="2:17" x14ac:dyDescent="0.25">
      <c r="B65" s="67" t="s">
        <v>130</v>
      </c>
      <c r="C65" s="30" t="s">
        <v>131</v>
      </c>
      <c r="E65" s="71" t="s">
        <v>91</v>
      </c>
      <c r="F65" s="32"/>
      <c r="G65" s="4">
        <v>3</v>
      </c>
      <c r="H65" s="32"/>
      <c r="I65" s="32">
        <v>3.7</v>
      </c>
      <c r="J65" s="67" t="s">
        <v>141</v>
      </c>
      <c r="K65" s="30" t="s">
        <v>142</v>
      </c>
      <c r="M65" s="71" t="s">
        <v>143</v>
      </c>
      <c r="N65" s="32"/>
      <c r="O65" s="4">
        <v>3</v>
      </c>
      <c r="P65" s="32"/>
      <c r="Q65" s="32">
        <v>2</v>
      </c>
    </row>
    <row r="66" spans="2:17" x14ac:dyDescent="0.25">
      <c r="B66" s="67" t="s">
        <v>132</v>
      </c>
      <c r="C66" s="30" t="s">
        <v>133</v>
      </c>
      <c r="E66" s="71" t="s">
        <v>12</v>
      </c>
      <c r="F66" s="32"/>
      <c r="G66" s="4">
        <v>3</v>
      </c>
      <c r="H66" s="32"/>
      <c r="I66" s="32">
        <v>3.3</v>
      </c>
      <c r="J66" s="67" t="s">
        <v>144</v>
      </c>
      <c r="K66" s="30" t="s">
        <v>145</v>
      </c>
      <c r="M66" s="71" t="s">
        <v>11</v>
      </c>
      <c r="N66" s="32"/>
      <c r="O66" s="4">
        <v>3</v>
      </c>
      <c r="P66" s="32"/>
      <c r="Q66" s="32">
        <v>4</v>
      </c>
    </row>
    <row r="67" spans="2:17" ht="22.8" x14ac:dyDescent="0.25">
      <c r="B67" s="67" t="s">
        <v>134</v>
      </c>
      <c r="C67" s="91" t="s">
        <v>135</v>
      </c>
      <c r="E67" s="32"/>
      <c r="F67" s="32"/>
      <c r="G67" s="4">
        <v>3</v>
      </c>
      <c r="H67" s="32"/>
      <c r="I67" s="32"/>
      <c r="J67" s="67" t="s">
        <v>146</v>
      </c>
      <c r="K67" s="91" t="s">
        <v>147</v>
      </c>
      <c r="M67" s="32" t="s">
        <v>74</v>
      </c>
      <c r="N67" s="32"/>
      <c r="O67" s="4">
        <v>3</v>
      </c>
      <c r="P67" s="32"/>
      <c r="Q67" s="32">
        <v>3</v>
      </c>
    </row>
    <row r="68" spans="2:17" x14ac:dyDescent="0.25">
      <c r="B68" s="68" t="s">
        <v>136</v>
      </c>
      <c r="C68" s="90" t="s">
        <v>137</v>
      </c>
      <c r="E68" s="71" t="s">
        <v>12</v>
      </c>
      <c r="F68" s="71"/>
      <c r="G68" s="74">
        <v>3</v>
      </c>
      <c r="H68" s="71"/>
      <c r="I68" s="71">
        <v>3.3</v>
      </c>
      <c r="J68" s="68" t="s">
        <v>148</v>
      </c>
      <c r="K68" s="90" t="s">
        <v>149</v>
      </c>
      <c r="M68" s="71" t="s">
        <v>11</v>
      </c>
      <c r="N68" s="71"/>
      <c r="O68" s="74">
        <v>3</v>
      </c>
      <c r="P68" s="71"/>
      <c r="Q68" s="71">
        <v>4</v>
      </c>
    </row>
    <row r="69" spans="2:17" x14ac:dyDescent="0.25">
      <c r="B69" s="67"/>
      <c r="C69" s="92"/>
      <c r="D69" s="44"/>
      <c r="E69" s="34"/>
      <c r="F69" s="34"/>
      <c r="G69" s="34"/>
      <c r="H69" s="34"/>
      <c r="I69" s="34"/>
      <c r="J69" s="67" t="s">
        <v>150</v>
      </c>
      <c r="K69" s="92" t="s">
        <v>151</v>
      </c>
      <c r="L69" s="44"/>
      <c r="M69" s="34" t="s">
        <v>79</v>
      </c>
      <c r="N69" s="34"/>
      <c r="O69" s="34">
        <v>3</v>
      </c>
      <c r="P69" s="34"/>
      <c r="Q69" s="34">
        <v>4</v>
      </c>
    </row>
    <row r="70" spans="2:17" x14ac:dyDescent="0.25">
      <c r="B70" s="96"/>
      <c r="C70" s="86" t="s">
        <v>4</v>
      </c>
      <c r="D70" s="87"/>
      <c r="E70" s="88" t="s">
        <v>5</v>
      </c>
      <c r="F70" s="87"/>
      <c r="G70" s="88" t="s">
        <v>6</v>
      </c>
      <c r="H70" s="87"/>
      <c r="I70" s="88" t="s">
        <v>7</v>
      </c>
      <c r="J70" s="96"/>
      <c r="K70" s="86" t="s">
        <v>4</v>
      </c>
      <c r="L70" s="87"/>
      <c r="M70" s="88" t="s">
        <v>5</v>
      </c>
      <c r="N70" s="87"/>
      <c r="O70" s="88" t="s">
        <v>6</v>
      </c>
      <c r="P70" s="87"/>
      <c r="Q70" s="88" t="s">
        <v>7</v>
      </c>
    </row>
    <row r="71" spans="2:17" x14ac:dyDescent="0.25">
      <c r="B71" s="38" t="s">
        <v>8</v>
      </c>
      <c r="C71" s="96">
        <f>SUM(G64:G69)</f>
        <v>15</v>
      </c>
      <c r="D71" s="33"/>
      <c r="E71" s="96">
        <f>SUM(G64:G69)</f>
        <v>15</v>
      </c>
      <c r="F71" s="33"/>
      <c r="G71" s="96">
        <f>SUM(I64:I69)</f>
        <v>13.600000000000001</v>
      </c>
      <c r="H71" s="33"/>
      <c r="I71" s="96">
        <f>G71/E71</f>
        <v>0.90666666666666673</v>
      </c>
      <c r="J71" s="38" t="s">
        <v>8</v>
      </c>
      <c r="K71" s="96">
        <f>SUM(O64:O69)</f>
        <v>18</v>
      </c>
      <c r="L71" s="33"/>
      <c r="M71" s="96">
        <f>SUM(O64:O69)</f>
        <v>18</v>
      </c>
      <c r="N71" s="33"/>
      <c r="O71" s="96">
        <f>SUM(Q64:Q69)</f>
        <v>20.3</v>
      </c>
      <c r="P71" s="33"/>
      <c r="Q71" s="96">
        <f>O71/M71</f>
        <v>1.1277777777777778</v>
      </c>
    </row>
    <row r="72" spans="2:17" x14ac:dyDescent="0.25">
      <c r="B72" s="38" t="s">
        <v>9</v>
      </c>
      <c r="C72" s="34">
        <f>C71+K60</f>
        <v>35</v>
      </c>
      <c r="D72" s="44"/>
      <c r="E72" s="34">
        <f>E71+M60</f>
        <v>35</v>
      </c>
      <c r="F72" s="44"/>
      <c r="G72" s="34">
        <f>G71+O60</f>
        <v>34.400000000000006</v>
      </c>
      <c r="H72" s="44"/>
      <c r="I72" s="34">
        <f>G72/E72</f>
        <v>0.98285714285714298</v>
      </c>
      <c r="J72" s="38" t="s">
        <v>9</v>
      </c>
      <c r="K72" s="34">
        <f>K71+C72</f>
        <v>53</v>
      </c>
      <c r="L72" s="44"/>
      <c r="M72" s="34">
        <f>M71+E72</f>
        <v>53</v>
      </c>
      <c r="N72" s="44"/>
      <c r="O72" s="34">
        <f>O71+G72</f>
        <v>54.7</v>
      </c>
      <c r="P72" s="44"/>
      <c r="Q72" s="34">
        <f>O72/M72</f>
        <v>1.0320754716981133</v>
      </c>
    </row>
    <row r="73" spans="2:17" x14ac:dyDescent="0.25">
      <c r="O73" s="22"/>
      <c r="P73" s="20"/>
      <c r="Q73" s="22"/>
    </row>
    <row r="74" spans="2:17" x14ac:dyDescent="0.25">
      <c r="O74" s="29" t="s">
        <v>32</v>
      </c>
      <c r="P74" s="20"/>
      <c r="Q74" s="22"/>
    </row>
    <row r="75" spans="2:17" x14ac:dyDescent="0.25">
      <c r="O75" s="22" t="s">
        <v>46</v>
      </c>
      <c r="P75" s="20"/>
      <c r="Q75" s="22"/>
    </row>
    <row r="76" spans="2:17" x14ac:dyDescent="0.25">
      <c r="O76" s="22"/>
      <c r="P76" s="20"/>
      <c r="Q76" s="22"/>
    </row>
    <row r="77" spans="2:17" x14ac:dyDescent="0.25">
      <c r="O77" s="4"/>
      <c r="P77" s="7"/>
      <c r="Q77" s="4"/>
    </row>
    <row r="81" spans="2:17" x14ac:dyDescent="0.25">
      <c r="B81" s="11"/>
      <c r="C81" s="23"/>
      <c r="D81" s="16"/>
      <c r="E81" s="17"/>
      <c r="F81" s="16"/>
      <c r="G81" s="17"/>
      <c r="H81" s="99"/>
      <c r="I81" s="99"/>
      <c r="J81" s="16"/>
      <c r="K81" s="98"/>
      <c r="L81" s="7"/>
      <c r="M81" s="4"/>
      <c r="N81" s="7"/>
      <c r="O81" s="4"/>
      <c r="P81" s="7"/>
      <c r="Q81" s="4"/>
    </row>
    <row r="82" spans="2:17" x14ac:dyDescent="0.25">
      <c r="B82" s="100"/>
      <c r="C82" s="100"/>
      <c r="D82" s="49"/>
      <c r="E82" s="50"/>
      <c r="F82" s="49"/>
      <c r="G82" s="50"/>
      <c r="H82" s="49"/>
      <c r="I82" s="50"/>
      <c r="J82" s="49"/>
      <c r="K82" s="51"/>
      <c r="L82" s="49"/>
      <c r="M82" s="50"/>
      <c r="N82" s="49"/>
      <c r="O82" s="50"/>
    </row>
    <row r="83" spans="2:17" x14ac:dyDescent="0.25">
      <c r="B83" s="11"/>
      <c r="C83" s="23"/>
      <c r="D83" s="16"/>
      <c r="E83" s="17"/>
      <c r="F83" s="16"/>
      <c r="G83" s="17"/>
      <c r="H83" s="99"/>
      <c r="I83" s="99"/>
      <c r="J83" s="16"/>
      <c r="K83" s="98"/>
      <c r="L83" s="7"/>
      <c r="M83" s="4"/>
      <c r="N83" s="7"/>
      <c r="O83" s="4"/>
      <c r="P83" s="7"/>
      <c r="Q83" s="4"/>
    </row>
    <row r="88" spans="2:17" x14ac:dyDescent="0.25">
      <c r="B88" s="100" t="str">
        <f>$B$2</f>
        <v xml:space="preserve">Student Name: Youssef Ibrahim El Masry </v>
      </c>
      <c r="C88" s="100"/>
      <c r="D88" s="49"/>
      <c r="E88" s="50"/>
      <c r="F88" s="49"/>
      <c r="G88" s="50"/>
      <c r="H88" s="49"/>
      <c r="I88" s="50"/>
      <c r="J88" s="49"/>
      <c r="K88" s="51"/>
      <c r="L88" s="49"/>
      <c r="M88" s="50"/>
      <c r="N88" s="49"/>
      <c r="O88" s="50"/>
    </row>
    <row r="89" spans="2:17" x14ac:dyDescent="0.25">
      <c r="B89" s="97" t="str">
        <f>$B$3</f>
        <v>Student ID: CE-1610501</v>
      </c>
      <c r="C89" s="97"/>
      <c r="D89" s="97" t="s">
        <v>29</v>
      </c>
      <c r="E89" s="97"/>
      <c r="F89" s="97"/>
      <c r="G89" s="97"/>
      <c r="H89" s="97"/>
      <c r="I89" s="55"/>
      <c r="J89" s="56"/>
      <c r="K89" s="57"/>
      <c r="L89" s="56"/>
      <c r="M89" s="58"/>
      <c r="N89" s="56"/>
      <c r="O89" s="58"/>
      <c r="P89" s="25"/>
      <c r="Q89" s="26"/>
    </row>
    <row r="90" spans="2:17" x14ac:dyDescent="0.25">
      <c r="B90" s="16"/>
      <c r="C90" s="16"/>
      <c r="D90" s="16"/>
      <c r="E90" s="17"/>
      <c r="F90" s="16"/>
      <c r="G90" s="17"/>
      <c r="H90" s="16"/>
      <c r="I90" s="17"/>
      <c r="J90" s="16"/>
      <c r="K90" s="98"/>
      <c r="L90" s="7"/>
      <c r="M90" s="4"/>
      <c r="N90" s="7"/>
      <c r="O90" s="4"/>
      <c r="P90" s="7"/>
      <c r="Q90" s="4"/>
    </row>
    <row r="91" spans="2:17" x14ac:dyDescent="0.25">
      <c r="B91" s="8"/>
      <c r="C91" s="9" t="s">
        <v>0</v>
      </c>
      <c r="D91" s="10"/>
      <c r="E91" s="9" t="s">
        <v>1</v>
      </c>
      <c r="F91" s="11"/>
      <c r="G91" s="9" t="s">
        <v>3</v>
      </c>
      <c r="H91" s="11"/>
      <c r="I91" s="9" t="s">
        <v>2</v>
      </c>
      <c r="J91" s="11"/>
      <c r="K91" s="9" t="s">
        <v>0</v>
      </c>
      <c r="L91" s="10"/>
      <c r="M91" s="9" t="s">
        <v>1</v>
      </c>
      <c r="N91" s="11"/>
      <c r="O91" s="9" t="s">
        <v>3</v>
      </c>
      <c r="P91" s="11"/>
      <c r="Q91" s="9" t="s">
        <v>2</v>
      </c>
    </row>
    <row r="92" spans="2:17" x14ac:dyDescent="0.25">
      <c r="B92" s="43" t="s">
        <v>152</v>
      </c>
      <c r="C92" s="43" t="s">
        <v>50</v>
      </c>
      <c r="D92" s="27"/>
      <c r="E92" s="28"/>
      <c r="F92" s="27"/>
      <c r="G92" s="28"/>
      <c r="H92" s="27"/>
      <c r="I92" s="28"/>
      <c r="J92" s="43"/>
      <c r="K92" s="43" t="s">
        <v>51</v>
      </c>
      <c r="L92" s="27"/>
      <c r="M92" s="28"/>
      <c r="N92" s="27"/>
      <c r="O92" s="28"/>
      <c r="P92" s="27"/>
      <c r="Q92" s="28"/>
    </row>
    <row r="93" spans="2:17" x14ac:dyDescent="0.25">
      <c r="B93" s="68" t="s">
        <v>153</v>
      </c>
      <c r="C93" s="90" t="s">
        <v>154</v>
      </c>
      <c r="E93" s="71" t="s">
        <v>79</v>
      </c>
      <c r="F93" s="71"/>
      <c r="G93" s="74">
        <v>3</v>
      </c>
      <c r="H93" s="71"/>
      <c r="I93" s="71">
        <v>4</v>
      </c>
      <c r="J93" s="68"/>
      <c r="K93" s="93"/>
      <c r="M93" s="71"/>
      <c r="N93" s="71"/>
      <c r="O93" s="74"/>
      <c r="P93" s="71"/>
      <c r="Q93" s="71"/>
    </row>
    <row r="94" spans="2:17" x14ac:dyDescent="0.25">
      <c r="B94" s="67" t="s">
        <v>155</v>
      </c>
      <c r="C94" s="30" t="s">
        <v>156</v>
      </c>
      <c r="E94" s="71" t="s">
        <v>79</v>
      </c>
      <c r="F94" s="32"/>
      <c r="G94" s="4">
        <v>3</v>
      </c>
      <c r="H94" s="32"/>
      <c r="I94" s="32">
        <v>4</v>
      </c>
      <c r="J94" s="82"/>
      <c r="K94" s="94"/>
      <c r="M94" s="71"/>
      <c r="N94" s="32"/>
      <c r="O94" s="32"/>
      <c r="P94" s="32"/>
      <c r="Q94" s="32"/>
    </row>
    <row r="95" spans="2:17" x14ac:dyDescent="0.25">
      <c r="B95" s="67" t="s">
        <v>157</v>
      </c>
      <c r="C95" s="30" t="s">
        <v>158</v>
      </c>
      <c r="E95" s="71" t="s">
        <v>12</v>
      </c>
      <c r="F95" s="32"/>
      <c r="G95" s="4">
        <v>3</v>
      </c>
      <c r="H95" s="32"/>
      <c r="I95" s="32">
        <v>3.3</v>
      </c>
      <c r="J95" s="68"/>
      <c r="K95" s="90"/>
      <c r="M95" s="71"/>
      <c r="N95" s="71"/>
      <c r="O95" s="74"/>
      <c r="P95" s="71"/>
      <c r="Q95" s="71"/>
    </row>
    <row r="96" spans="2:17" ht="22.8" x14ac:dyDescent="0.25">
      <c r="B96" s="67" t="s">
        <v>159</v>
      </c>
      <c r="C96" s="91" t="s">
        <v>160</v>
      </c>
      <c r="E96" s="32" t="s">
        <v>87</v>
      </c>
      <c r="F96" s="32"/>
      <c r="G96" s="4">
        <v>3</v>
      </c>
      <c r="H96" s="32"/>
      <c r="I96" s="32">
        <v>2.7</v>
      </c>
      <c r="J96" s="68"/>
      <c r="K96" s="93"/>
      <c r="L96" s="70"/>
      <c r="M96" s="71"/>
      <c r="N96" s="71"/>
      <c r="P96" s="71"/>
      <c r="Q96" s="71"/>
    </row>
    <row r="97" spans="2:17" x14ac:dyDescent="0.25">
      <c r="B97" s="68"/>
      <c r="C97" s="90"/>
      <c r="E97" s="71"/>
      <c r="F97" s="71"/>
      <c r="G97" s="74"/>
      <c r="H97" s="71"/>
      <c r="I97" s="71"/>
      <c r="J97" s="68"/>
      <c r="K97" s="93"/>
      <c r="L97" s="70"/>
      <c r="M97" s="71"/>
      <c r="N97" s="71"/>
      <c r="O97" s="71"/>
      <c r="P97" s="71"/>
      <c r="Q97" s="71"/>
    </row>
    <row r="98" spans="2:17" x14ac:dyDescent="0.25">
      <c r="B98" s="67"/>
      <c r="C98" s="92"/>
      <c r="D98" s="44"/>
      <c r="E98" s="34"/>
      <c r="F98" s="34"/>
      <c r="G98" s="34"/>
      <c r="H98" s="34"/>
      <c r="I98" s="34"/>
      <c r="J98" s="67"/>
      <c r="K98" s="92"/>
      <c r="L98" s="44"/>
      <c r="M98" s="34"/>
      <c r="N98" s="34"/>
      <c r="O98" s="34"/>
      <c r="P98" s="34"/>
      <c r="Q98" s="34"/>
    </row>
    <row r="99" spans="2:17" x14ac:dyDescent="0.25">
      <c r="B99" s="96"/>
      <c r="C99" s="86" t="s">
        <v>4</v>
      </c>
      <c r="D99" s="87"/>
      <c r="E99" s="88" t="s">
        <v>5</v>
      </c>
      <c r="F99" s="87"/>
      <c r="G99" s="88" t="s">
        <v>6</v>
      </c>
      <c r="H99" s="87"/>
      <c r="I99" s="88" t="s">
        <v>7</v>
      </c>
      <c r="J99" s="96"/>
      <c r="K99" s="86" t="s">
        <v>4</v>
      </c>
      <c r="L99" s="87"/>
      <c r="M99" s="88" t="s">
        <v>5</v>
      </c>
      <c r="N99" s="87"/>
      <c r="O99" s="88" t="s">
        <v>6</v>
      </c>
      <c r="P99" s="87"/>
      <c r="Q99" s="88" t="s">
        <v>7</v>
      </c>
    </row>
    <row r="100" spans="2:17" x14ac:dyDescent="0.25">
      <c r="B100" s="38" t="s">
        <v>8</v>
      </c>
      <c r="C100" s="96">
        <f>SUM(G93:G98)</f>
        <v>12</v>
      </c>
      <c r="D100" s="33"/>
      <c r="E100" s="96">
        <f>SUM(G93:G98)</f>
        <v>12</v>
      </c>
      <c r="F100" s="33"/>
      <c r="G100" s="96">
        <f>SUM(I93:I98)</f>
        <v>14</v>
      </c>
      <c r="H100" s="33"/>
      <c r="I100" s="96">
        <f>G100/E100</f>
        <v>1.1666666666666667</v>
      </c>
      <c r="J100" s="38" t="s">
        <v>8</v>
      </c>
      <c r="K100" s="96">
        <f>SUM(O93:O98)</f>
        <v>0</v>
      </c>
      <c r="L100" s="33"/>
      <c r="M100" s="96">
        <f>SUM(O93:O98)</f>
        <v>0</v>
      </c>
      <c r="N100" s="33"/>
      <c r="O100" s="96">
        <f>SUM(Q93:Q98)</f>
        <v>0</v>
      </c>
      <c r="P100" s="33"/>
      <c r="Q100" s="96" t="e">
        <f>O100/M100</f>
        <v>#DIV/0!</v>
      </c>
    </row>
    <row r="101" spans="2:17" x14ac:dyDescent="0.25">
      <c r="B101" s="38" t="s">
        <v>9</v>
      </c>
      <c r="C101" s="34">
        <f>C100+K72</f>
        <v>65</v>
      </c>
      <c r="D101" s="44"/>
      <c r="E101" s="34">
        <f>E100+M72</f>
        <v>65</v>
      </c>
      <c r="F101" s="44"/>
      <c r="G101" s="34">
        <f>G100+O72</f>
        <v>68.7</v>
      </c>
      <c r="H101" s="44"/>
      <c r="I101" s="34">
        <f>G101/E101</f>
        <v>1.0569230769230771</v>
      </c>
      <c r="J101" s="38" t="s">
        <v>9</v>
      </c>
      <c r="K101" s="34">
        <f>K100+C101</f>
        <v>65</v>
      </c>
      <c r="L101" s="44"/>
      <c r="M101" s="34">
        <f>M100+E101</f>
        <v>65</v>
      </c>
      <c r="N101" s="44"/>
      <c r="O101" s="34">
        <f>O100+G101</f>
        <v>68.7</v>
      </c>
      <c r="P101" s="44"/>
      <c r="Q101" s="34">
        <f>O101/M101</f>
        <v>1.0569230769230771</v>
      </c>
    </row>
    <row r="102" spans="2:17" x14ac:dyDescent="0.25">
      <c r="B102" s="8" t="s">
        <v>40</v>
      </c>
      <c r="C102" s="79"/>
      <c r="D102" s="80"/>
      <c r="E102" s="79"/>
      <c r="F102" s="81"/>
      <c r="G102" s="79"/>
      <c r="H102" s="81"/>
      <c r="I102" s="79"/>
      <c r="J102" s="31"/>
      <c r="K102" s="76"/>
      <c r="L102" s="77"/>
      <c r="M102" s="76"/>
      <c r="N102" s="78"/>
      <c r="O102" s="76"/>
      <c r="P102" s="78"/>
      <c r="Q102" s="76"/>
    </row>
    <row r="103" spans="2:17" x14ac:dyDescent="0.25">
      <c r="B103" s="8"/>
      <c r="C103" s="9" t="s">
        <v>0</v>
      </c>
      <c r="D103" s="10"/>
      <c r="E103" s="9" t="s">
        <v>1</v>
      </c>
      <c r="F103" s="11"/>
      <c r="G103" s="9" t="s">
        <v>3</v>
      </c>
      <c r="H103" s="11"/>
      <c r="I103" s="9" t="s">
        <v>2</v>
      </c>
      <c r="J103" s="8"/>
      <c r="K103" s="9" t="s">
        <v>0</v>
      </c>
      <c r="L103" s="10"/>
      <c r="M103" s="9" t="s">
        <v>1</v>
      </c>
      <c r="N103" s="11"/>
      <c r="O103" s="9" t="s">
        <v>3</v>
      </c>
      <c r="P103" s="11"/>
      <c r="Q103" s="9" t="s">
        <v>2</v>
      </c>
    </row>
    <row r="104" spans="2:17" x14ac:dyDescent="0.25">
      <c r="B104" s="43"/>
      <c r="C104" s="43" t="s">
        <v>52</v>
      </c>
      <c r="D104" s="27"/>
      <c r="E104" s="28"/>
      <c r="F104" s="27"/>
      <c r="G104" s="28"/>
      <c r="H104" s="27"/>
      <c r="I104" s="28"/>
      <c r="J104" s="43"/>
      <c r="K104" s="43" t="s">
        <v>53</v>
      </c>
      <c r="L104" s="27"/>
      <c r="M104" s="28"/>
      <c r="N104" s="27"/>
      <c r="O104" s="28"/>
      <c r="P104" s="27"/>
      <c r="Q104" s="28"/>
    </row>
    <row r="105" spans="2:17" x14ac:dyDescent="0.25">
      <c r="B105" s="68"/>
      <c r="C105" s="90"/>
      <c r="E105" s="71"/>
      <c r="F105" s="71"/>
      <c r="G105" s="74"/>
      <c r="H105" s="71"/>
      <c r="I105" s="71"/>
      <c r="J105" s="68"/>
      <c r="K105" s="90"/>
      <c r="M105" s="71"/>
      <c r="N105" s="71"/>
      <c r="O105" s="74"/>
      <c r="P105" s="71"/>
      <c r="Q105" s="71"/>
    </row>
    <row r="106" spans="2:17" x14ac:dyDescent="0.25">
      <c r="B106" s="67"/>
      <c r="C106" s="30"/>
      <c r="E106" s="71"/>
      <c r="F106" s="32"/>
      <c r="G106" s="4"/>
      <c r="H106" s="32"/>
      <c r="I106" s="32"/>
      <c r="J106" s="67"/>
      <c r="K106" s="30"/>
      <c r="M106" s="71"/>
      <c r="N106" s="32"/>
      <c r="O106" s="4"/>
      <c r="P106" s="32"/>
      <c r="Q106" s="32"/>
    </row>
    <row r="107" spans="2:17" x14ac:dyDescent="0.25">
      <c r="B107" s="67"/>
      <c r="C107" s="30"/>
      <c r="E107" s="71"/>
      <c r="F107" s="32"/>
      <c r="G107" s="4"/>
      <c r="H107" s="32"/>
      <c r="I107" s="32"/>
      <c r="J107" s="67"/>
      <c r="K107" s="30"/>
      <c r="M107" s="71"/>
      <c r="N107" s="32"/>
      <c r="O107" s="4"/>
      <c r="P107" s="32"/>
      <c r="Q107" s="32"/>
    </row>
    <row r="108" spans="2:17" x14ac:dyDescent="0.25">
      <c r="B108" s="67"/>
      <c r="C108" s="91"/>
      <c r="E108" s="32"/>
      <c r="F108" s="32"/>
      <c r="G108" s="4"/>
      <c r="H108" s="32"/>
      <c r="I108" s="32"/>
      <c r="J108" s="67"/>
      <c r="K108" s="91"/>
      <c r="M108" s="32"/>
      <c r="N108" s="32"/>
      <c r="O108" s="4"/>
      <c r="P108" s="32"/>
      <c r="Q108" s="32"/>
    </row>
    <row r="109" spans="2:17" x14ac:dyDescent="0.25">
      <c r="B109" s="68"/>
      <c r="C109" s="90"/>
      <c r="E109" s="71"/>
      <c r="F109" s="71"/>
      <c r="G109" s="74"/>
      <c r="H109" s="71"/>
      <c r="I109" s="71"/>
      <c r="J109" s="68"/>
      <c r="K109" s="90"/>
      <c r="M109" s="71"/>
      <c r="N109" s="71"/>
      <c r="O109" s="74"/>
      <c r="P109" s="71"/>
      <c r="Q109" s="71"/>
    </row>
    <row r="110" spans="2:17" x14ac:dyDescent="0.25">
      <c r="B110" s="67"/>
      <c r="C110" s="92"/>
      <c r="D110" s="44"/>
      <c r="E110" s="34"/>
      <c r="F110" s="34"/>
      <c r="G110" s="34"/>
      <c r="H110" s="34"/>
      <c r="I110" s="34"/>
      <c r="J110" s="67"/>
      <c r="K110" s="92"/>
      <c r="L110" s="44"/>
      <c r="M110" s="34"/>
      <c r="N110" s="34"/>
      <c r="O110" s="34"/>
      <c r="P110" s="34"/>
      <c r="Q110" s="34"/>
    </row>
    <row r="111" spans="2:17" x14ac:dyDescent="0.25">
      <c r="B111" s="96"/>
      <c r="C111" s="86" t="s">
        <v>4</v>
      </c>
      <c r="D111" s="87"/>
      <c r="E111" s="88" t="s">
        <v>5</v>
      </c>
      <c r="F111" s="87"/>
      <c r="G111" s="88" t="s">
        <v>6</v>
      </c>
      <c r="H111" s="87"/>
      <c r="I111" s="88" t="s">
        <v>7</v>
      </c>
      <c r="J111" s="96"/>
      <c r="K111" s="86" t="s">
        <v>4</v>
      </c>
      <c r="L111" s="87"/>
      <c r="M111" s="88" t="s">
        <v>5</v>
      </c>
      <c r="N111" s="87"/>
      <c r="O111" s="88" t="s">
        <v>6</v>
      </c>
      <c r="P111" s="87"/>
      <c r="Q111" s="88" t="s">
        <v>7</v>
      </c>
    </row>
    <row r="112" spans="2:17" x14ac:dyDescent="0.25">
      <c r="B112" s="38" t="s">
        <v>8</v>
      </c>
      <c r="C112" s="96">
        <f>SUM(G105:G110)</f>
        <v>0</v>
      </c>
      <c r="D112" s="33"/>
      <c r="E112" s="96">
        <f>SUM(G105:G110)</f>
        <v>0</v>
      </c>
      <c r="F112" s="33"/>
      <c r="G112" s="96">
        <f>SUM(I105:I110)</f>
        <v>0</v>
      </c>
      <c r="H112" s="33"/>
      <c r="I112" s="96" t="e">
        <f>G112/E112</f>
        <v>#DIV/0!</v>
      </c>
      <c r="J112" s="38" t="s">
        <v>8</v>
      </c>
      <c r="K112" s="96">
        <f>SUM(O105:O110)</f>
        <v>0</v>
      </c>
      <c r="L112" s="33"/>
      <c r="M112" s="96">
        <f>SUM(O105:O110)</f>
        <v>0</v>
      </c>
      <c r="N112" s="33"/>
      <c r="O112" s="96">
        <f>SUM(Q105:Q110)</f>
        <v>0</v>
      </c>
      <c r="P112" s="33"/>
      <c r="Q112" s="96" t="e">
        <f>O112/M112</f>
        <v>#DIV/0!</v>
      </c>
    </row>
    <row r="113" spans="2:17" x14ac:dyDescent="0.25">
      <c r="B113" s="38" t="s">
        <v>9</v>
      </c>
      <c r="C113" s="34">
        <f>C112+K101</f>
        <v>65</v>
      </c>
      <c r="D113" s="44"/>
      <c r="E113" s="34">
        <f>E112+M101</f>
        <v>65</v>
      </c>
      <c r="F113" s="44"/>
      <c r="G113" s="34">
        <f>G112+O101</f>
        <v>68.7</v>
      </c>
      <c r="H113" s="44"/>
      <c r="I113" s="34">
        <f>G113/E113</f>
        <v>1.0569230769230771</v>
      </c>
      <c r="J113" s="38" t="s">
        <v>9</v>
      </c>
      <c r="K113" s="34">
        <f>K112+C113</f>
        <v>65</v>
      </c>
      <c r="L113" s="44"/>
      <c r="M113" s="34">
        <f>M112+E113</f>
        <v>65</v>
      </c>
      <c r="N113" s="44"/>
      <c r="O113" s="34">
        <f>O112+G113</f>
        <v>68.7</v>
      </c>
      <c r="P113" s="44"/>
      <c r="Q113" s="34">
        <f>O113/M113</f>
        <v>1.0569230769230771</v>
      </c>
    </row>
    <row r="114" spans="2:17" x14ac:dyDescent="0.25">
      <c r="O114" s="22"/>
      <c r="P114" s="20"/>
      <c r="Q114" s="22"/>
    </row>
    <row r="115" spans="2:17" x14ac:dyDescent="0.25">
      <c r="O115" s="29" t="s">
        <v>32</v>
      </c>
      <c r="P115" s="20"/>
      <c r="Q115" s="22"/>
    </row>
    <row r="116" spans="2:17" x14ac:dyDescent="0.25">
      <c r="O116" s="22" t="s">
        <v>47</v>
      </c>
      <c r="P116" s="20"/>
      <c r="Q116" s="22"/>
    </row>
    <row r="117" spans="2:17" x14ac:dyDescent="0.25">
      <c r="O117" s="22"/>
      <c r="P117" s="20"/>
      <c r="Q117" s="22"/>
    </row>
    <row r="118" spans="2:17" x14ac:dyDescent="0.25">
      <c r="O118" s="4"/>
      <c r="P118" s="7"/>
      <c r="Q118" s="4"/>
    </row>
  </sheetData>
  <mergeCells count="11">
    <mergeCell ref="B47:C47"/>
    <mergeCell ref="B3:C3"/>
    <mergeCell ref="B2:C2"/>
    <mergeCell ref="H42:I42"/>
    <mergeCell ref="D3:H3"/>
    <mergeCell ref="H83:I83"/>
    <mergeCell ref="B88:C88"/>
    <mergeCell ref="H81:I81"/>
    <mergeCell ref="B82:C82"/>
    <mergeCell ref="D48:H48"/>
    <mergeCell ref="B48:C48"/>
  </mergeCells>
  <phoneticPr fontId="1" type="noConversion"/>
  <pageMargins left="0.25" right="0.25" top="0.75" bottom="0.75" header="0.3" footer="0.3"/>
  <pageSetup paperSize="9" scale="89" orientation="landscape" r:id="rId1"/>
  <headerFooter alignWithMargins="0"/>
  <rowBreaks count="2" manualBreakCount="2">
    <brk id="41" max="16" man="1"/>
    <brk id="82" max="1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R42"/>
  <sheetViews>
    <sheetView workbookViewId="0">
      <selection activeCell="L21" sqref="L21"/>
    </sheetView>
  </sheetViews>
  <sheetFormatPr defaultRowHeight="13.2" x14ac:dyDescent="0.25"/>
  <sheetData>
    <row r="1" spans="2:18" x14ac:dyDescent="0.25">
      <c r="B1" s="16"/>
      <c r="C1" s="18"/>
      <c r="D1" s="11"/>
      <c r="E1" s="19"/>
      <c r="F1" s="11"/>
      <c r="G1" s="19"/>
      <c r="H1" s="11"/>
      <c r="I1" s="19"/>
      <c r="J1" s="16"/>
      <c r="K1" s="16"/>
      <c r="L1" s="41"/>
      <c r="M1" s="7"/>
      <c r="N1" s="4"/>
      <c r="O1" s="7"/>
      <c r="P1" s="4"/>
      <c r="Q1" s="7"/>
      <c r="R1" s="4"/>
    </row>
    <row r="2" spans="2:18" x14ac:dyDescent="0.25">
      <c r="B2" s="11"/>
      <c r="C2" s="23"/>
      <c r="D2" s="16"/>
      <c r="E2" s="17"/>
      <c r="F2" s="16"/>
      <c r="G2" s="17"/>
      <c r="H2" s="99"/>
      <c r="I2" s="99"/>
      <c r="J2" s="16"/>
      <c r="K2" s="16"/>
      <c r="L2" s="41"/>
      <c r="M2" s="7"/>
      <c r="N2" s="4"/>
      <c r="O2" s="7"/>
      <c r="P2" s="4"/>
      <c r="Q2" s="7"/>
      <c r="R2" s="4"/>
    </row>
    <row r="3" spans="2:18" x14ac:dyDescent="0.25">
      <c r="B3" s="52" t="s">
        <v>27</v>
      </c>
      <c r="C3" s="53"/>
      <c r="D3" s="49"/>
      <c r="E3" s="50"/>
      <c r="F3" s="49"/>
      <c r="G3" s="50"/>
      <c r="H3" s="49"/>
      <c r="I3" s="50"/>
      <c r="J3" s="49"/>
      <c r="K3" s="49"/>
      <c r="L3" s="51"/>
      <c r="M3" s="49"/>
      <c r="N3" s="50"/>
      <c r="O3" s="49"/>
      <c r="P3" s="50"/>
      <c r="Q3" s="3"/>
      <c r="R3" s="2"/>
    </row>
    <row r="4" spans="2:18" x14ac:dyDescent="0.25">
      <c r="B4" s="54" t="s">
        <v>28</v>
      </c>
      <c r="C4" s="75">
        <v>1610162</v>
      </c>
      <c r="D4" s="100" t="s">
        <v>29</v>
      </c>
      <c r="E4" s="100"/>
      <c r="F4" s="100"/>
      <c r="G4" s="100"/>
      <c r="H4" s="100"/>
      <c r="I4" s="55"/>
      <c r="J4" s="56"/>
      <c r="K4" s="56"/>
      <c r="L4" s="57"/>
      <c r="M4" s="56"/>
      <c r="N4" s="58"/>
      <c r="O4" s="56"/>
      <c r="P4" s="58"/>
      <c r="Q4" s="25"/>
      <c r="R4" s="26"/>
    </row>
    <row r="5" spans="2:18" x14ac:dyDescent="0.25">
      <c r="B5" s="16"/>
      <c r="C5" s="16"/>
      <c r="D5" s="16"/>
      <c r="E5" s="17"/>
      <c r="F5" s="16"/>
      <c r="G5" s="17"/>
      <c r="H5" s="16"/>
      <c r="I5" s="17"/>
      <c r="J5" s="16"/>
      <c r="K5" s="16"/>
      <c r="L5" s="41"/>
      <c r="M5" s="7"/>
      <c r="N5" s="4"/>
      <c r="O5" s="7"/>
      <c r="P5" s="4"/>
      <c r="Q5" s="7"/>
      <c r="R5" s="4"/>
    </row>
    <row r="6" spans="2:18" x14ac:dyDescent="0.25">
      <c r="B6" s="8"/>
      <c r="C6" s="9" t="s">
        <v>0</v>
      </c>
      <c r="D6" s="10"/>
      <c r="E6" s="9" t="s">
        <v>1</v>
      </c>
      <c r="F6" s="11"/>
      <c r="G6" s="9" t="s">
        <v>3</v>
      </c>
      <c r="H6" s="11"/>
      <c r="I6" s="9" t="s">
        <v>2</v>
      </c>
      <c r="L6" s="42"/>
      <c r="N6" s="2"/>
      <c r="P6" s="2"/>
      <c r="Q6" s="3"/>
      <c r="R6" s="2"/>
    </row>
    <row r="7" spans="2:18" x14ac:dyDescent="0.25">
      <c r="B7" s="43" t="s">
        <v>25</v>
      </c>
      <c r="C7" s="15" t="s">
        <v>23</v>
      </c>
      <c r="D7" s="27"/>
      <c r="E7" s="28"/>
      <c r="F7" s="27"/>
      <c r="G7" s="28"/>
      <c r="H7" s="27"/>
      <c r="I7" s="28"/>
      <c r="L7" s="42"/>
      <c r="N7" s="2"/>
      <c r="P7" s="2"/>
      <c r="Q7" s="3"/>
      <c r="R7" s="2"/>
    </row>
    <row r="8" spans="2:18" x14ac:dyDescent="0.25">
      <c r="B8" s="28" t="s">
        <v>33</v>
      </c>
      <c r="C8" s="27" t="s">
        <v>17</v>
      </c>
      <c r="E8" s="28" t="s">
        <v>12</v>
      </c>
      <c r="F8" s="27"/>
      <c r="G8" s="4">
        <v>3</v>
      </c>
      <c r="H8" s="27"/>
      <c r="I8" s="28">
        <v>9.8999999999999986</v>
      </c>
      <c r="L8" s="42"/>
      <c r="N8" s="2"/>
      <c r="P8" s="2"/>
      <c r="Q8" s="3"/>
      <c r="R8" s="2"/>
    </row>
    <row r="9" spans="2:18" x14ac:dyDescent="0.25">
      <c r="B9" s="28" t="s">
        <v>34</v>
      </c>
      <c r="C9" s="27" t="s">
        <v>35</v>
      </c>
      <c r="E9" s="28" t="s">
        <v>11</v>
      </c>
      <c r="F9" s="27"/>
      <c r="G9" s="4">
        <v>3</v>
      </c>
      <c r="H9" s="27"/>
      <c r="I9" s="28">
        <v>12</v>
      </c>
      <c r="L9" s="42"/>
      <c r="N9" s="2"/>
      <c r="P9" s="2"/>
      <c r="Q9" s="3"/>
      <c r="R9" s="2"/>
    </row>
    <row r="10" spans="2:18" x14ac:dyDescent="0.25">
      <c r="B10" s="68"/>
      <c r="C10" s="69"/>
      <c r="E10" s="71"/>
      <c r="F10" s="72"/>
      <c r="G10" s="74"/>
      <c r="H10" s="72"/>
      <c r="I10" s="71"/>
      <c r="L10" s="42"/>
      <c r="N10" s="2"/>
      <c r="P10" s="2"/>
      <c r="Q10" s="3"/>
      <c r="R10" s="2"/>
    </row>
    <row r="11" spans="2:18" x14ac:dyDescent="0.25">
      <c r="B11" s="43" t="s">
        <v>26</v>
      </c>
      <c r="C11" s="15" t="s">
        <v>24</v>
      </c>
      <c r="E11" s="32"/>
      <c r="F11" s="31"/>
      <c r="G11" s="4"/>
      <c r="H11" s="31"/>
      <c r="I11" s="32"/>
      <c r="L11" s="42"/>
      <c r="N11" s="2"/>
      <c r="P11" s="2"/>
      <c r="Q11" s="3"/>
      <c r="R11" s="2"/>
    </row>
    <row r="12" spans="2:18" x14ac:dyDescent="0.25">
      <c r="B12" s="68" t="s">
        <v>31</v>
      </c>
      <c r="C12" s="73" t="s">
        <v>37</v>
      </c>
      <c r="D12" s="70"/>
      <c r="E12" s="71" t="s">
        <v>30</v>
      </c>
      <c r="F12" s="72"/>
      <c r="G12" s="74">
        <v>3</v>
      </c>
      <c r="H12" s="72"/>
      <c r="I12" s="74">
        <v>0</v>
      </c>
      <c r="L12" s="42"/>
      <c r="N12" s="2"/>
      <c r="P12" s="2"/>
      <c r="Q12" s="3"/>
      <c r="R12" s="2"/>
    </row>
    <row r="13" spans="2:18" ht="68.400000000000006" x14ac:dyDescent="0.25">
      <c r="B13" s="68" t="s">
        <v>20</v>
      </c>
      <c r="C13" s="73" t="s">
        <v>38</v>
      </c>
      <c r="D13" s="70"/>
      <c r="E13" s="71" t="s">
        <v>36</v>
      </c>
      <c r="F13" s="72"/>
      <c r="G13" s="74">
        <v>3</v>
      </c>
      <c r="H13" s="72"/>
      <c r="I13" s="74">
        <v>5.0999999999999996</v>
      </c>
      <c r="L13" s="42"/>
      <c r="N13" s="2"/>
      <c r="P13" s="2"/>
      <c r="Q13" s="3"/>
      <c r="R13" s="2"/>
    </row>
    <row r="14" spans="2:18" x14ac:dyDescent="0.25">
      <c r="B14" s="68" t="s">
        <v>22</v>
      </c>
      <c r="C14" s="69" t="s">
        <v>39</v>
      </c>
      <c r="D14" s="70"/>
      <c r="E14" s="71" t="s">
        <v>30</v>
      </c>
      <c r="F14" s="72"/>
      <c r="G14" s="74">
        <v>3</v>
      </c>
      <c r="H14" s="72"/>
      <c r="I14" s="74">
        <v>0</v>
      </c>
      <c r="L14" s="42"/>
      <c r="N14" s="2"/>
      <c r="P14" s="2"/>
      <c r="Q14" s="3"/>
      <c r="R14" s="2"/>
    </row>
    <row r="15" spans="2:18" x14ac:dyDescent="0.25">
      <c r="B15" s="30"/>
      <c r="C15" s="48"/>
      <c r="D15" s="44"/>
      <c r="E15" s="34"/>
      <c r="F15" s="44"/>
      <c r="G15" s="34"/>
      <c r="H15" s="44"/>
      <c r="I15" s="34"/>
      <c r="L15" s="42"/>
      <c r="N15" s="2"/>
      <c r="P15" s="2"/>
      <c r="Q15" s="3"/>
      <c r="R15" s="2"/>
    </row>
    <row r="16" spans="2:18" x14ac:dyDescent="0.25">
      <c r="B16" s="31"/>
      <c r="C16" s="36" t="s">
        <v>4</v>
      </c>
      <c r="D16" s="37"/>
      <c r="E16" s="38" t="s">
        <v>5</v>
      </c>
      <c r="F16" s="37"/>
      <c r="G16" s="39" t="s">
        <v>6</v>
      </c>
      <c r="H16" s="40" t="s">
        <v>7</v>
      </c>
      <c r="I16" s="38"/>
      <c r="L16" s="42"/>
      <c r="N16" s="2"/>
      <c r="P16" s="2"/>
      <c r="Q16" s="3"/>
      <c r="R16" s="2"/>
    </row>
    <row r="17" spans="2:18" x14ac:dyDescent="0.25">
      <c r="B17" s="38" t="s">
        <v>8</v>
      </c>
      <c r="C17" s="45">
        <f>SUM(G8:G14)</f>
        <v>15</v>
      </c>
      <c r="D17" s="33"/>
      <c r="E17" s="35">
        <f>SUM(G8:G14)</f>
        <v>15</v>
      </c>
      <c r="F17" s="33"/>
      <c r="G17" s="35">
        <f>SUM(I8:I14)</f>
        <v>27</v>
      </c>
      <c r="H17" s="101">
        <f>G17/E17</f>
        <v>1.8</v>
      </c>
      <c r="I17" s="101"/>
      <c r="L17" s="42"/>
      <c r="N17" s="2"/>
      <c r="P17" s="2"/>
      <c r="Q17" s="3"/>
      <c r="R17" s="2"/>
    </row>
    <row r="18" spans="2:18" x14ac:dyDescent="0.25">
      <c r="B18" s="38" t="s">
        <v>9</v>
      </c>
      <c r="C18" s="45" t="e">
        <f>C17+#REF!</f>
        <v>#REF!</v>
      </c>
      <c r="D18" s="33"/>
      <c r="E18" s="35" t="e">
        <f>E17+#REF!</f>
        <v>#REF!</v>
      </c>
      <c r="F18" s="33"/>
      <c r="G18" s="35" t="e">
        <f>G17+#REF!</f>
        <v>#REF!</v>
      </c>
      <c r="H18" s="101" t="e">
        <f>G18/E18</f>
        <v>#REF!</v>
      </c>
      <c r="I18" s="101"/>
      <c r="L18" s="42"/>
      <c r="N18" s="2"/>
      <c r="P18" s="2"/>
      <c r="Q18" s="3"/>
      <c r="R18" s="2"/>
    </row>
    <row r="19" spans="2:18" x14ac:dyDescent="0.25">
      <c r="B19" s="33"/>
      <c r="C19" s="47"/>
      <c r="D19" s="47"/>
      <c r="E19" s="46"/>
      <c r="F19" s="47"/>
      <c r="G19" s="46"/>
      <c r="H19" s="47"/>
      <c r="I19" s="46"/>
      <c r="L19" s="42"/>
      <c r="N19" s="2"/>
      <c r="P19" s="2"/>
      <c r="Q19" s="3"/>
      <c r="R19" s="2"/>
    </row>
    <row r="20" spans="2:18" x14ac:dyDescent="0.25">
      <c r="B20" s="8"/>
      <c r="C20" s="12"/>
      <c r="D20" s="13"/>
      <c r="E20" s="12"/>
      <c r="F20" s="14"/>
      <c r="G20" s="12"/>
      <c r="H20" s="14"/>
      <c r="I20" s="12"/>
      <c r="L20" s="42"/>
      <c r="N20" s="2"/>
      <c r="P20" s="2"/>
      <c r="Q20" s="3"/>
      <c r="R20" s="2"/>
    </row>
    <row r="21" spans="2:18" x14ac:dyDescent="0.25">
      <c r="C21" s="3"/>
      <c r="E21" s="2"/>
      <c r="G21" s="2"/>
      <c r="I21" s="2"/>
      <c r="L21" s="42"/>
      <c r="N21" s="2"/>
      <c r="P21" s="2"/>
      <c r="Q21" s="3"/>
      <c r="R21" s="2"/>
    </row>
    <row r="22" spans="2:18" x14ac:dyDescent="0.25">
      <c r="C22" s="3"/>
      <c r="E22" s="2"/>
      <c r="G22" s="2"/>
      <c r="I22" s="2"/>
      <c r="L22" s="42"/>
      <c r="M22" s="7"/>
      <c r="N22" s="4"/>
      <c r="O22" s="7"/>
      <c r="P22" s="4"/>
      <c r="Q22" s="7"/>
      <c r="R22" s="4"/>
    </row>
    <row r="23" spans="2:18" x14ac:dyDescent="0.25">
      <c r="C23" s="3"/>
      <c r="E23" s="2"/>
      <c r="G23" s="2"/>
      <c r="I23" s="2"/>
      <c r="L23" s="42"/>
      <c r="M23" s="5"/>
      <c r="N23" s="6"/>
      <c r="O23" s="5"/>
      <c r="P23" s="29" t="s">
        <v>32</v>
      </c>
      <c r="Q23" s="5"/>
      <c r="R23" s="6"/>
    </row>
    <row r="24" spans="2:18" x14ac:dyDescent="0.25">
      <c r="C24" s="3"/>
      <c r="E24" s="2"/>
      <c r="G24" s="2"/>
      <c r="I24" s="2"/>
      <c r="L24" s="42"/>
      <c r="N24" s="2"/>
      <c r="P24" s="22" t="s">
        <v>10</v>
      </c>
      <c r="Q24" s="3"/>
      <c r="R24" s="2"/>
    </row>
    <row r="25" spans="2:18" x14ac:dyDescent="0.25">
      <c r="C25" s="3"/>
      <c r="E25" s="2"/>
      <c r="G25" s="2"/>
      <c r="I25" s="2"/>
      <c r="L25" s="42"/>
      <c r="N25" s="2"/>
      <c r="P25" s="2"/>
      <c r="Q25" s="3"/>
      <c r="R25" s="2"/>
    </row>
    <row r="26" spans="2:18" x14ac:dyDescent="0.25">
      <c r="C26" s="3"/>
      <c r="E26" s="2"/>
      <c r="G26" s="2"/>
      <c r="I26" s="2"/>
      <c r="L26" s="42"/>
      <c r="N26" s="2"/>
      <c r="P26" s="2"/>
      <c r="Q26" s="3"/>
      <c r="R26" s="2"/>
    </row>
    <row r="27" spans="2:18" x14ac:dyDescent="0.25">
      <c r="C27" s="3"/>
      <c r="E27" s="2"/>
      <c r="G27" s="2"/>
      <c r="I27" s="2"/>
      <c r="L27" s="42"/>
      <c r="N27" s="2"/>
      <c r="P27" s="22"/>
      <c r="Q27" s="20"/>
      <c r="R27" s="22"/>
    </row>
    <row r="28" spans="2:18" x14ac:dyDescent="0.25">
      <c r="C28" s="3"/>
      <c r="E28" s="2"/>
      <c r="G28" s="2"/>
      <c r="I28" s="2"/>
      <c r="L28" s="42"/>
      <c r="N28" s="2"/>
      <c r="P28" s="22"/>
      <c r="Q28" s="20"/>
      <c r="R28" s="22"/>
    </row>
    <row r="29" spans="2:18" x14ac:dyDescent="0.25">
      <c r="C29" s="3"/>
      <c r="E29" s="2"/>
      <c r="G29" s="2"/>
      <c r="I29" s="2"/>
      <c r="L29" s="42"/>
      <c r="N29" s="2"/>
      <c r="P29" s="22"/>
      <c r="Q29" s="20"/>
      <c r="R29" s="22"/>
    </row>
    <row r="30" spans="2:18" x14ac:dyDescent="0.25">
      <c r="C30" s="3"/>
      <c r="E30" s="2"/>
      <c r="G30" s="2"/>
      <c r="I30" s="2"/>
      <c r="L30" s="42"/>
      <c r="N30" s="2"/>
      <c r="P30" s="22"/>
      <c r="Q30" s="20"/>
      <c r="R30" s="22"/>
    </row>
    <row r="31" spans="2:18" x14ac:dyDescent="0.25">
      <c r="C31" s="3"/>
      <c r="E31" s="2"/>
      <c r="G31" s="2"/>
      <c r="I31" s="2"/>
      <c r="L31" s="42"/>
      <c r="N31" s="2"/>
      <c r="P31" s="22"/>
      <c r="Q31" s="20"/>
      <c r="R31" s="22"/>
    </row>
    <row r="32" spans="2:18" x14ac:dyDescent="0.25">
      <c r="C32" s="3"/>
      <c r="E32" s="2"/>
      <c r="G32" s="2"/>
      <c r="I32" s="2"/>
      <c r="L32" s="42"/>
      <c r="N32" s="2"/>
      <c r="P32" s="22"/>
      <c r="Q32" s="20"/>
      <c r="R32" s="22"/>
    </row>
    <row r="33" spans="3:18" x14ac:dyDescent="0.25">
      <c r="C33" s="3"/>
      <c r="E33" s="2"/>
      <c r="G33" s="2"/>
      <c r="I33" s="2"/>
      <c r="L33" s="42"/>
      <c r="N33" s="2"/>
      <c r="P33" s="22"/>
      <c r="Q33" s="20"/>
      <c r="R33" s="22"/>
    </row>
    <row r="34" spans="3:18" x14ac:dyDescent="0.25">
      <c r="C34" s="3"/>
      <c r="E34" s="2"/>
      <c r="G34" s="2"/>
      <c r="I34" s="2"/>
      <c r="L34" s="42"/>
      <c r="N34" s="2"/>
      <c r="P34" s="22"/>
      <c r="Q34" s="20"/>
      <c r="R34" s="22"/>
    </row>
    <row r="35" spans="3:18" x14ac:dyDescent="0.25">
      <c r="C35" s="3"/>
      <c r="E35" s="2"/>
      <c r="G35" s="2"/>
      <c r="I35" s="2"/>
      <c r="L35" s="42"/>
      <c r="N35" s="2"/>
      <c r="P35" s="29"/>
      <c r="Q35" s="20"/>
      <c r="R35" s="22"/>
    </row>
    <row r="36" spans="3:18" x14ac:dyDescent="0.25">
      <c r="C36" s="3"/>
      <c r="E36" s="2"/>
      <c r="G36" s="2"/>
      <c r="I36" s="2"/>
      <c r="L36" s="42"/>
      <c r="N36" s="2"/>
      <c r="P36" s="22"/>
      <c r="Q36" s="20"/>
      <c r="R36" s="22"/>
    </row>
    <row r="37" spans="3:18" x14ac:dyDescent="0.25">
      <c r="C37" s="3"/>
      <c r="E37" s="2"/>
      <c r="G37" s="2"/>
      <c r="I37" s="2"/>
      <c r="L37" s="42"/>
      <c r="N37" s="2"/>
      <c r="P37" s="22"/>
      <c r="Q37" s="20"/>
      <c r="R37" s="22"/>
    </row>
    <row r="38" spans="3:18" x14ac:dyDescent="0.25">
      <c r="C38" s="3"/>
      <c r="E38" s="2"/>
      <c r="G38" s="2"/>
      <c r="I38" s="2"/>
      <c r="L38" s="42"/>
      <c r="N38" s="2"/>
      <c r="P38" s="22"/>
      <c r="Q38" s="20"/>
      <c r="R38" s="22"/>
    </row>
    <row r="39" spans="3:18" x14ac:dyDescent="0.25">
      <c r="C39" s="3"/>
      <c r="E39" s="2"/>
      <c r="G39" s="2"/>
      <c r="I39" s="2"/>
      <c r="L39" s="42"/>
      <c r="N39" s="2"/>
      <c r="P39" s="4"/>
      <c r="Q39" s="7"/>
      <c r="R39" s="4"/>
    </row>
    <row r="40" spans="3:18" x14ac:dyDescent="0.25">
      <c r="C40" s="3"/>
      <c r="E40" s="2"/>
      <c r="G40" s="2"/>
      <c r="I40" s="2"/>
      <c r="L40" s="42"/>
      <c r="N40" s="2"/>
      <c r="P40" s="2"/>
      <c r="Q40" s="3"/>
      <c r="R40" s="2"/>
    </row>
    <row r="41" spans="3:18" x14ac:dyDescent="0.25">
      <c r="C41" s="3"/>
      <c r="E41" s="2"/>
      <c r="G41" s="2"/>
      <c r="I41" s="2"/>
      <c r="L41" s="42"/>
      <c r="N41" s="2"/>
      <c r="P41" s="2"/>
      <c r="Q41" s="3"/>
      <c r="R41" s="2"/>
    </row>
    <row r="42" spans="3:18" x14ac:dyDescent="0.25">
      <c r="C42" s="3"/>
      <c r="E42" s="2"/>
      <c r="G42" s="2"/>
      <c r="I42" s="2"/>
      <c r="L42" s="42"/>
      <c r="N42" s="2"/>
      <c r="P42" s="2"/>
      <c r="Q42" s="3"/>
      <c r="R42" s="2"/>
    </row>
  </sheetData>
  <mergeCells count="4">
    <mergeCell ref="H2:I2"/>
    <mergeCell ref="D4:H4"/>
    <mergeCell ref="H17:I17"/>
    <mergeCell ref="H18:I18"/>
  </mergeCells>
  <phoneticPr fontId="1" type="noConversion"/>
  <pageMargins left="0.25" right="0.25" top="0.75" bottom="0.75" header="0.3" footer="0.3"/>
  <pageSetup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2" x14ac:dyDescent="0.25"/>
  <sheetData/>
  <phoneticPr fontId="1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83B0DB34923740AB5BC4736B296445" ma:contentTypeVersion="12" ma:contentTypeDescription="Create a new document." ma:contentTypeScope="" ma:versionID="3f117531a4b2a4c7bf4471dc319fb808">
  <xsd:schema xmlns:xsd="http://www.w3.org/2001/XMLSchema" xmlns:xs="http://www.w3.org/2001/XMLSchema" xmlns:p="http://schemas.microsoft.com/office/2006/metadata/properties" xmlns:ns3="1f979a09-5a52-4faf-a977-ec85d913a26c" xmlns:ns4="c405920d-61fb-4541-a251-ecddc03917c2" targetNamespace="http://schemas.microsoft.com/office/2006/metadata/properties" ma:root="true" ma:fieldsID="22d2e2fabbe6c7e7cd7010816551ae3e" ns3:_="" ns4:_="">
    <xsd:import namespace="1f979a09-5a52-4faf-a977-ec85d913a26c"/>
    <xsd:import namespace="c405920d-61fb-4541-a251-ecddc03917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979a09-5a52-4faf-a977-ec85d913a2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05920d-61fb-4541-a251-ecddc03917c2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8F5B6E9-CFCB-4B39-A51E-5139F19A6033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c405920d-61fb-4541-a251-ecddc03917c2"/>
    <ds:schemaRef ds:uri="http://schemas.microsoft.com/office/2006/metadata/properties"/>
    <ds:schemaRef ds:uri="1f979a09-5a52-4faf-a977-ec85d913a26c"/>
    <ds:schemaRef ds:uri="http://www.w3.org/XML/1998/namespace"/>
    <ds:schemaRef ds:uri="http://purl.org/dc/terms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8867DB74-7A99-425D-8B3F-D6CF695E04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f979a09-5a52-4faf-a977-ec85d913a26c"/>
    <ds:schemaRef ds:uri="c405920d-61fb-4541-a251-ecddc03917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44AE381-EB09-42F7-9DC8-99FE5D2FF7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amsalama</dc:creator>
  <cp:lastModifiedBy>Mumin Elsayed Hemayed</cp:lastModifiedBy>
  <cp:lastPrinted>2020-03-29T18:05:54Z</cp:lastPrinted>
  <dcterms:created xsi:type="dcterms:W3CDTF">2007-09-04T10:11:37Z</dcterms:created>
  <dcterms:modified xsi:type="dcterms:W3CDTF">2020-03-30T18:40:16Z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0x0101000D83B0DB34923740AB5BC4736B296445</vt:lpwstr>
  </property>
</Properties>
</file>